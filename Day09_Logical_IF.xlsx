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ink/ink2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9A125127C53E629C/Documents/"/>
    </mc:Choice>
  </mc:AlternateContent>
  <xr:revisionPtr revIDLastSave="374" documentId="8_{9088C887-98F8-413F-8ED1-39A5EAB2E35A}" xr6:coauthVersionLast="47" xr6:coauthVersionMax="47" xr10:uidLastSave="{73CCED83-603D-4FEF-B152-88EFCB52A8A2}"/>
  <bookViews>
    <workbookView xWindow="-120" yWindow="-120" windowWidth="20730" windowHeight="11040" activeTab="2" xr2:uid="{A419DF89-A3FC-4977-A9EE-8E7BDC085BB0}"/>
  </bookViews>
  <sheets>
    <sheet name="CHECKING" sheetId="1" r:id="rId1"/>
    <sheet name="Logical Formulas" sheetId="4" r:id="rId2"/>
    <sheet name="Misc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3" i="6" l="1"/>
  <c r="H13" i="6"/>
  <c r="I13" i="6" s="1"/>
  <c r="L5" i="6"/>
  <c r="L22" i="6"/>
  <c r="L23" i="6"/>
  <c r="L24" i="6"/>
  <c r="L25" i="6"/>
  <c r="L26" i="6"/>
  <c r="L27" i="6"/>
  <c r="L21" i="6"/>
  <c r="H22" i="6"/>
  <c r="H23" i="6"/>
  <c r="H24" i="6"/>
  <c r="H25" i="6"/>
  <c r="H26" i="6"/>
  <c r="H27" i="6"/>
  <c r="H21" i="6"/>
  <c r="D22" i="6"/>
  <c r="D23" i="6"/>
  <c r="D24" i="6"/>
  <c r="D25" i="6"/>
  <c r="D26" i="6"/>
  <c r="D27" i="6"/>
  <c r="D21" i="6"/>
  <c r="I7" i="6"/>
  <c r="J7" i="6" s="1"/>
  <c r="I11" i="6"/>
  <c r="J11" i="6" s="1"/>
  <c r="I16" i="6"/>
  <c r="J16" i="6" s="1"/>
  <c r="H4" i="6"/>
  <c r="I4" i="6" s="1"/>
  <c r="J4" i="6" s="1"/>
  <c r="H5" i="6"/>
  <c r="I5" i="6" s="1"/>
  <c r="J5" i="6" s="1"/>
  <c r="H6" i="6"/>
  <c r="I6" i="6" s="1"/>
  <c r="J6" i="6" s="1"/>
  <c r="H7" i="6"/>
  <c r="H8" i="6"/>
  <c r="I8" i="6" s="1"/>
  <c r="J8" i="6" s="1"/>
  <c r="H9" i="6"/>
  <c r="I9" i="6" s="1"/>
  <c r="J9" i="6" s="1"/>
  <c r="H10" i="6"/>
  <c r="I10" i="6" s="1"/>
  <c r="J10" i="6" s="1"/>
  <c r="H11" i="6"/>
  <c r="H12" i="6"/>
  <c r="I12" i="6" s="1"/>
  <c r="J12" i="6" s="1"/>
  <c r="L12" i="6" s="1"/>
  <c r="H14" i="6"/>
  <c r="I14" i="6" s="1"/>
  <c r="J14" i="6" s="1"/>
  <c r="H15" i="6"/>
  <c r="I15" i="6" s="1"/>
  <c r="J15" i="6" s="1"/>
  <c r="H16" i="6"/>
  <c r="H17" i="6"/>
  <c r="I17" i="6" s="1"/>
  <c r="J17" i="6" s="1"/>
  <c r="H3" i="6"/>
  <c r="I3" i="6" s="1"/>
  <c r="J3" i="6" s="1"/>
  <c r="C38" i="4"/>
  <c r="C37" i="4"/>
  <c r="C36" i="4"/>
  <c r="C35" i="4"/>
  <c r="C34" i="4"/>
  <c r="C33" i="4"/>
  <c r="C32" i="4"/>
  <c r="C31" i="4"/>
  <c r="G27" i="4"/>
  <c r="H27" i="4" s="1"/>
  <c r="I27" i="4" s="1"/>
  <c r="G26" i="4"/>
  <c r="H26" i="4" s="1"/>
  <c r="I26" i="4" s="1"/>
  <c r="G25" i="4"/>
  <c r="H25" i="4" s="1"/>
  <c r="I25" i="4" s="1"/>
  <c r="G24" i="4"/>
  <c r="H24" i="4" s="1"/>
  <c r="I24" i="4" s="1"/>
  <c r="G23" i="4"/>
  <c r="H23" i="4" s="1"/>
  <c r="I23" i="4" s="1"/>
  <c r="G22" i="4"/>
  <c r="H22" i="4" s="1"/>
  <c r="I22" i="4" s="1"/>
  <c r="H21" i="4"/>
  <c r="I21" i="4" s="1"/>
  <c r="G20" i="4"/>
  <c r="H20" i="4" s="1"/>
  <c r="I20" i="4" s="1"/>
  <c r="G19" i="4"/>
  <c r="H19" i="4" s="1"/>
  <c r="I19" i="4" s="1"/>
  <c r="G18" i="4"/>
  <c r="H18" i="4" s="1"/>
  <c r="I18" i="4" s="1"/>
  <c r="G17" i="4"/>
  <c r="H17" i="4" s="1"/>
  <c r="I17" i="4" s="1"/>
  <c r="G16" i="4"/>
  <c r="H16" i="4" s="1"/>
  <c r="I16" i="4" s="1"/>
  <c r="G15" i="4"/>
  <c r="H15" i="4" s="1"/>
  <c r="I15" i="4" s="1"/>
  <c r="G14" i="4"/>
  <c r="H14" i="4" s="1"/>
  <c r="I14" i="4" s="1"/>
  <c r="G13" i="4"/>
  <c r="H13" i="4" s="1"/>
  <c r="I13" i="4" s="1"/>
  <c r="I8" i="4"/>
  <c r="I7" i="4"/>
  <c r="I6" i="4"/>
  <c r="I5" i="4"/>
  <c r="I4" i="4"/>
  <c r="D8" i="4"/>
  <c r="D7" i="4"/>
  <c r="D6" i="4"/>
  <c r="D5" i="4"/>
  <c r="D4" i="4"/>
  <c r="A2" i="1" a="1"/>
  <c r="A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" i="1"/>
  <c r="K5" i="6" l="1"/>
  <c r="J13" i="6"/>
  <c r="K16" i="6"/>
  <c r="L16" i="6" s="1"/>
  <c r="K15" i="6"/>
  <c r="L15" i="6" s="1"/>
  <c r="K11" i="6"/>
  <c r="L11" i="6" s="1"/>
  <c r="K7" i="6"/>
  <c r="L7" i="6" s="1"/>
  <c r="K3" i="6"/>
  <c r="L3" i="6" s="1"/>
  <c r="K14" i="6"/>
  <c r="L14" i="6" s="1"/>
  <c r="K10" i="6"/>
  <c r="L10" i="6" s="1"/>
  <c r="K6" i="6"/>
  <c r="L6" i="6" s="1"/>
  <c r="K12" i="6"/>
  <c r="K8" i="6"/>
  <c r="L8" i="6" s="1"/>
  <c r="K4" i="6"/>
  <c r="L4" i="6" s="1"/>
  <c r="K17" i="6"/>
  <c r="L17" i="6" s="1"/>
  <c r="K9" i="6"/>
  <c r="L9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<sst xmlns="http://schemas.openxmlformats.org/spreadsheetml/2006/main" count="89" uniqueCount="50">
  <si>
    <t>NAME</t>
  </si>
  <si>
    <t>AGE</t>
  </si>
  <si>
    <t>DRIVING OR NOT</t>
  </si>
  <si>
    <t>English</t>
  </si>
  <si>
    <t>Maths</t>
  </si>
  <si>
    <t>Science</t>
  </si>
  <si>
    <t>Aarav Sharma</t>
  </si>
  <si>
    <t>Employee</t>
  </si>
  <si>
    <t>Experience (Years)</t>
  </si>
  <si>
    <t>Performance Rating</t>
  </si>
  <si>
    <t>Bonus Eligibility</t>
  </si>
  <si>
    <t>A</t>
  </si>
  <si>
    <t>B</t>
  </si>
  <si>
    <t>C</t>
  </si>
  <si>
    <t>D</t>
  </si>
  <si>
    <t>E</t>
  </si>
  <si>
    <t>S no</t>
  </si>
  <si>
    <t>Names</t>
  </si>
  <si>
    <t>Hindi</t>
  </si>
  <si>
    <t>Total</t>
  </si>
  <si>
    <t>%</t>
  </si>
  <si>
    <t>Status</t>
  </si>
  <si>
    <t>Riya Verma</t>
  </si>
  <si>
    <t>Vivaan Mehta</t>
  </si>
  <si>
    <t>Ananya Iyer</t>
  </si>
  <si>
    <t>Karan Patel</t>
  </si>
  <si>
    <t>Sanya Malhotra</t>
  </si>
  <si>
    <t>Rahul Nair</t>
  </si>
  <si>
    <t>Pooja Deshmukh</t>
  </si>
  <si>
    <t>Aditya Reddy</t>
  </si>
  <si>
    <t>Meera Kapoor</t>
  </si>
  <si>
    <t>Rohan Bansal</t>
  </si>
  <si>
    <t>Ishita Choudhary</t>
  </si>
  <si>
    <t>Arjun Bhardwaj</t>
  </si>
  <si>
    <t>Neha Joshi</t>
  </si>
  <si>
    <t>Kabir Saxena</t>
  </si>
  <si>
    <t>Party Name</t>
  </si>
  <si>
    <t>Amount</t>
  </si>
  <si>
    <t>F</t>
  </si>
  <si>
    <t>G</t>
  </si>
  <si>
    <t>H</t>
  </si>
  <si>
    <t>TOTAL MARKS</t>
  </si>
  <si>
    <t xml:space="preserve">AND FORMULA </t>
  </si>
  <si>
    <t>OR FORMULA</t>
  </si>
  <si>
    <t>IF LOGICAL FORMULA FOR CHEKING RESULT OF STUDENTS</t>
  </si>
  <si>
    <t>Rank</t>
  </si>
  <si>
    <t>Round</t>
  </si>
  <si>
    <t>Round Up</t>
  </si>
  <si>
    <t>Round down</t>
  </si>
  <si>
    <t>SOME IS FORMULAS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</si>
</sst>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5"/>
      <color theme="0"/>
      <name val="Aptos Narrow"/>
      <family val="2"/>
      <scheme val="minor"/>
    </font>
    <font>
      <sz val="15"/>
      <color theme="4" tint="-0.499984740745262"/>
      <name val="Aptos Narrow"/>
      <family val="2"/>
      <scheme val="minor"/>
    </font>
    <font>
      <b/>
      <sz val="25"/>
      <color theme="0"/>
      <name val="Bookman Old Style"/>
      <family val="1"/>
    </font>
    <font>
      <sz val="2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2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53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7" fillId="8" borderId="9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9" fontId="0" fillId="9" borderId="10" xfId="1" applyFont="1" applyFill="1" applyBorder="1" applyAlignment="1">
      <alignment horizontal="center" vertical="center"/>
    </xf>
    <xf numFmtId="9" fontId="0" fillId="7" borderId="6" xfId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2" fontId="0" fillId="9" borderId="10" xfId="1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0" fillId="12" borderId="23" xfId="0" applyFill="1" applyBorder="1" applyAlignment="1">
      <alignment horizontal="center"/>
    </xf>
    <xf numFmtId="0" fontId="10" fillId="10" borderId="23" xfId="0" applyFont="1" applyFill="1" applyBorder="1" applyAlignment="1">
      <alignment horizontal="center" vertical="center"/>
    </xf>
    <xf numFmtId="0" fontId="9" fillId="6" borderId="23" xfId="1" applyNumberFormat="1" applyFont="1" applyFill="1" applyBorder="1" applyAlignment="1">
      <alignment horizontal="center" vertical="center"/>
    </xf>
    <xf numFmtId="0" fontId="9" fillId="12" borderId="23" xfId="0" applyFont="1" applyFill="1" applyBorder="1" applyAlignment="1">
      <alignment horizontal="center" vertical="center"/>
    </xf>
    <xf numFmtId="0" fontId="9" fillId="12" borderId="23" xfId="0" applyFont="1" applyFill="1" applyBorder="1"/>
    <xf numFmtId="0" fontId="9" fillId="13" borderId="23" xfId="0" applyFont="1" applyFill="1" applyBorder="1" applyAlignment="1">
      <alignment horizontal="center" vertical="center"/>
    </xf>
    <xf numFmtId="9" fontId="9" fillId="13" borderId="23" xfId="1" applyFont="1" applyFill="1" applyBorder="1" applyAlignment="1">
      <alignment horizontal="center" vertical="center"/>
    </xf>
    <xf numFmtId="9" fontId="9" fillId="14" borderId="23" xfId="1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11" fillId="11" borderId="23" xfId="0" applyFont="1" applyFill="1" applyBorder="1" applyAlignment="1">
      <alignment horizontal="center"/>
    </xf>
  </cellXfs>
  <cellStyles count="2">
    <cellStyle name="Normal" xfId="0" builtinId="0"/>
    <cellStyle name="Per cent" xfId="1" builtinId="5"/>
  </cellStyles>
  <dxfs count="5">
    <dxf>
      <font>
        <b/>
        <i/>
        <color theme="1"/>
      </font>
      <fill>
        <patternFill patternType="solid"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2" tint="-0.89996032593768116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rgb="FF002060"/>
        </patternFill>
      </fill>
    </dxf>
  </dxfs>
  <tableStyles count="0" defaultTableStyle="TableStyleMedium2" defaultPivotStyle="PivotStyleLight16"/>
  <colors>
    <mruColors>
      <color rgb="FFB577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779.png"/><Relationship Id="rId1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552450</xdr:colOff>
      <xdr:row>0</xdr:row>
      <xdr:rowOff>371475</xdr:rowOff>
    </xdr:from>
    <xdr:to>
      <xdr:col>13</xdr:col>
      <xdr:colOff>552450</xdr:colOff>
      <xdr:row>0</xdr:row>
      <xdr:rowOff>371475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66FA3917-5C22-4EF7-AEA9-5AA7E5A72CE9}"/>
                </a:ext>
                <a:ext uri="{147F2762-F138-4A5C-976F-8EAC2B608ADB}">
                  <a16:predDERef xmlns:a16="http://schemas.microsoft.com/office/drawing/2014/main" pred="{85DFBCA2-B751-41A7-B253-7B2229C9EE65}"/>
                </a:ext>
              </a:extLst>
            </xdr14:cNvPr>
            <xdr14:cNvContentPartPr/>
          </xdr14:nvContentPartPr>
          <xdr14:nvPr macro=""/>
          <xdr14:xfrm>
            <a:off x="11363325" y="371475"/>
            <a:ext cx="0" cy="0"/>
          </xdr14:xfrm>
        </xdr:contentPart>
      </mc:Choice>
      <mc:Fallback xmlns="">
        <xdr:pic>
          <xdr:nvPicPr>
            <xdr:cNvPr id="5" name="">
              <a:extLst>
                <a:ext uri="{FF2B5EF4-FFF2-40B4-BE49-F238E27FC236}">
                  <a16:creationId xmlns:a16="http://schemas.microsoft.com/office/drawing/2014/main" id="{66FA3917-5C22-4EF7-AEA9-5AA7E5A72CE9}"/>
                </a:ext>
                <a:ext uri="{147F2762-F138-4A5C-976F-8EAC2B608ADB}">
                  <a16:predDERef xmlns:a16="http://schemas.microsoft.com/office/drawing/2014/main" pred="{85DFBCA2-B751-41A7-B253-7B2229C9EE6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1363325" y="371475"/>
              <a:ext cx="0" cy="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98906</xdr:colOff>
      <xdr:row>49</xdr:row>
      <xdr:rowOff>145440</xdr:rowOff>
    </xdr:from>
    <xdr:to>
      <xdr:col>2</xdr:col>
      <xdr:colOff>99266</xdr:colOff>
      <xdr:row>49</xdr:row>
      <xdr:rowOff>146160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A68180FA-7FD7-4CE6-8B15-D9F0B50ED712}"/>
                </a:ext>
              </a:extLst>
            </xdr14:cNvPr>
            <xdr14:cNvContentPartPr/>
          </xdr14:nvContentPartPr>
          <xdr14:nvPr macro=""/>
          <xdr14:xfrm>
            <a:off x="1427760" y="9177928"/>
            <a:ext cx="360" cy="720"/>
          </xdr14:xfrm>
        </xdr:contentPart>
      </mc:Choice>
      <mc:Fallback xmlns="">
        <xdr:pic>
          <xdr:nvPicPr>
            <xdr:cNvPr id="63" name="Ink 62">
              <a:extLst>
                <a:ext uri="{FF2B5EF4-FFF2-40B4-BE49-F238E27FC236}">
                  <a16:creationId xmlns:a16="http://schemas.microsoft.com/office/drawing/2014/main" id="{8FCF3DE9-F998-5CE9-E5CE-35CDD591212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421640" y="9171808"/>
              <a:ext cx="12600" cy="129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2-19T11:29:48.42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29218 926 16383 0 0,'0'0'0'0'0</inkml:trace>
  <inkml:trace contextRef="#ctx0" brushRef="#br0" timeOffset="36.47">29218 926 16383 0 0,'0'0'0'0'0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19T11:33:03.741"/>
    </inkml:context>
    <inkml:brush xml:id="br0">
      <inkml:brushProperty name="width" value="0.035" units="cm"/>
      <inkml:brushProperty name="height" value="0.035" units="cm"/>
      <inkml:brushProperty name="color" value="#F6630D"/>
    </inkml:brush>
  </inkml:definitions>
  <inkml:trace contextRef="#ctx0" brushRef="#br0">3374 181 24575,'0'2'0</inkml:trace>
</inkml: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FC020-6299-443E-8472-02932A07B917}">
  <sheetPr>
    <tabColor rgb="FFFFC000"/>
    <pageSetUpPr fitToPage="1"/>
  </sheetPr>
  <dimension ref="A1:F27"/>
  <sheetViews>
    <sheetView zoomScaleNormal="70" workbookViewId="0"/>
  </sheetViews>
  <sheetFormatPr defaultRowHeight="15" x14ac:dyDescent="0.25"/>
  <cols>
    <col min="1" max="1" width="16.7109375" bestFit="1" customWidth="1"/>
    <col min="2" max="2" width="12.42578125" bestFit="1" customWidth="1"/>
    <col min="3" max="3" width="44.85546875" bestFit="1" customWidth="1"/>
    <col min="7" max="7" width="5.140625" bestFit="1" customWidth="1"/>
    <col min="9" max="9" width="9.85546875" bestFit="1" customWidth="1"/>
  </cols>
  <sheetData>
    <row r="1" spans="1:6" ht="31.5" x14ac:dyDescent="0.45">
      <c r="A1" s="4" t="s">
        <v>0</v>
      </c>
      <c r="B1" s="4" t="s">
        <v>1</v>
      </c>
      <c r="C1" s="4" t="s">
        <v>2</v>
      </c>
    </row>
    <row r="2" spans="1:6" ht="26.25" x14ac:dyDescent="0.4">
      <c r="A2" s="1" t="str" cm="1">
        <f t="array" ref="A2:A27">CHAR(_xlfn.SEQUENCE(26,,65))</f>
        <v>A</v>
      </c>
      <c r="B2" s="2">
        <v>19</v>
      </c>
      <c r="C2" s="3" t="str">
        <f>IF(B2&gt;=18,"YES","NOT")</f>
        <v>YES</v>
      </c>
    </row>
    <row r="3" spans="1:6" ht="26.25" x14ac:dyDescent="0.4">
      <c r="A3" s="1" t="str">
        <v>B</v>
      </c>
      <c r="B3" s="2">
        <v>17</v>
      </c>
      <c r="C3" s="3" t="str">
        <f t="shared" ref="C3:C27" si="0">IF(B3&gt;=18,"YES","NOT")</f>
        <v>NOT</v>
      </c>
    </row>
    <row r="4" spans="1:6" ht="26.25" x14ac:dyDescent="0.4">
      <c r="A4" s="1" t="str">
        <v>C</v>
      </c>
      <c r="B4" s="2">
        <v>42</v>
      </c>
      <c r="C4" s="3" t="str">
        <f t="shared" si="0"/>
        <v>YES</v>
      </c>
      <c r="F4" s="5"/>
    </row>
    <row r="5" spans="1:6" ht="26.25" x14ac:dyDescent="0.4">
      <c r="A5" s="1" t="str">
        <v>D</v>
      </c>
      <c r="B5" s="2">
        <v>27</v>
      </c>
      <c r="C5" s="3" t="str">
        <f t="shared" si="0"/>
        <v>YES</v>
      </c>
    </row>
    <row r="6" spans="1:6" ht="26.25" x14ac:dyDescent="0.4">
      <c r="A6" s="1" t="str">
        <v>E</v>
      </c>
      <c r="B6" s="2">
        <v>39</v>
      </c>
      <c r="C6" s="3" t="str">
        <f t="shared" si="0"/>
        <v>YES</v>
      </c>
    </row>
    <row r="7" spans="1:6" ht="26.25" x14ac:dyDescent="0.4">
      <c r="A7" s="1" t="str">
        <v>F</v>
      </c>
      <c r="B7" s="2">
        <v>45</v>
      </c>
      <c r="C7" s="3" t="str">
        <f t="shared" si="0"/>
        <v>YES</v>
      </c>
    </row>
    <row r="8" spans="1:6" ht="26.25" x14ac:dyDescent="0.4">
      <c r="A8" s="1" t="str">
        <v>G</v>
      </c>
      <c r="B8" s="2">
        <v>37</v>
      </c>
      <c r="C8" s="3" t="str">
        <f t="shared" si="0"/>
        <v>YES</v>
      </c>
    </row>
    <row r="9" spans="1:6" ht="26.25" x14ac:dyDescent="0.4">
      <c r="A9" s="1" t="str">
        <v>H</v>
      </c>
      <c r="B9" s="2">
        <v>35</v>
      </c>
      <c r="C9" s="3" t="str">
        <f t="shared" si="0"/>
        <v>YES</v>
      </c>
    </row>
    <row r="10" spans="1:6" ht="26.25" x14ac:dyDescent="0.4">
      <c r="A10" s="1" t="str">
        <v>I</v>
      </c>
      <c r="B10" s="2">
        <v>15</v>
      </c>
      <c r="C10" s="3" t="str">
        <f t="shared" si="0"/>
        <v>NOT</v>
      </c>
    </row>
    <row r="11" spans="1:6" ht="26.25" x14ac:dyDescent="0.4">
      <c r="A11" s="1" t="str">
        <v>J</v>
      </c>
      <c r="B11" s="2">
        <v>37</v>
      </c>
      <c r="C11" s="3" t="str">
        <f t="shared" si="0"/>
        <v>YES</v>
      </c>
    </row>
    <row r="12" spans="1:6" ht="26.25" x14ac:dyDescent="0.4">
      <c r="A12" s="1" t="str">
        <v>K</v>
      </c>
      <c r="B12" s="2">
        <v>37</v>
      </c>
      <c r="C12" s="3" t="str">
        <f t="shared" si="0"/>
        <v>YES</v>
      </c>
    </row>
    <row r="13" spans="1:6" ht="26.25" x14ac:dyDescent="0.4">
      <c r="A13" s="1" t="str">
        <v>L</v>
      </c>
      <c r="B13" s="2">
        <v>24</v>
      </c>
      <c r="C13" s="3" t="str">
        <f t="shared" si="0"/>
        <v>YES</v>
      </c>
    </row>
    <row r="14" spans="1:6" ht="26.25" x14ac:dyDescent="0.4">
      <c r="A14" s="1" t="str">
        <v>M</v>
      </c>
      <c r="B14" s="2">
        <v>21</v>
      </c>
      <c r="C14" s="3" t="str">
        <f t="shared" si="0"/>
        <v>YES</v>
      </c>
    </row>
    <row r="15" spans="1:6" ht="26.25" x14ac:dyDescent="0.4">
      <c r="A15" s="1" t="str">
        <v>N</v>
      </c>
      <c r="B15" s="2">
        <v>44</v>
      </c>
      <c r="C15" s="3" t="str">
        <f t="shared" si="0"/>
        <v>YES</v>
      </c>
    </row>
    <row r="16" spans="1:6" ht="26.25" x14ac:dyDescent="0.4">
      <c r="A16" s="1" t="str">
        <v>O</v>
      </c>
      <c r="B16" s="2">
        <v>25</v>
      </c>
      <c r="C16" s="3" t="str">
        <f t="shared" si="0"/>
        <v>YES</v>
      </c>
    </row>
    <row r="17" spans="1:3" ht="26.25" x14ac:dyDescent="0.4">
      <c r="A17" s="1" t="str">
        <v>P</v>
      </c>
      <c r="B17" s="2">
        <v>29</v>
      </c>
      <c r="C17" s="3" t="str">
        <f t="shared" si="0"/>
        <v>YES</v>
      </c>
    </row>
    <row r="18" spans="1:3" ht="26.25" x14ac:dyDescent="0.4">
      <c r="A18" s="1" t="str">
        <v>Q</v>
      </c>
      <c r="B18" s="2">
        <v>16</v>
      </c>
      <c r="C18" s="3" t="str">
        <f t="shared" si="0"/>
        <v>NOT</v>
      </c>
    </row>
    <row r="19" spans="1:3" ht="26.25" x14ac:dyDescent="0.4">
      <c r="A19" s="1" t="str">
        <v>R</v>
      </c>
      <c r="B19" s="2">
        <v>38</v>
      </c>
      <c r="C19" s="3" t="str">
        <f t="shared" si="0"/>
        <v>YES</v>
      </c>
    </row>
    <row r="20" spans="1:3" ht="26.25" x14ac:dyDescent="0.4">
      <c r="A20" s="1" t="str">
        <v>S</v>
      </c>
      <c r="B20" s="2">
        <v>22</v>
      </c>
      <c r="C20" s="3" t="str">
        <f t="shared" si="0"/>
        <v>YES</v>
      </c>
    </row>
    <row r="21" spans="1:3" ht="26.25" x14ac:dyDescent="0.4">
      <c r="A21" s="1" t="str">
        <v>T</v>
      </c>
      <c r="B21" s="2">
        <v>27</v>
      </c>
      <c r="C21" s="3" t="str">
        <f t="shared" si="0"/>
        <v>YES</v>
      </c>
    </row>
    <row r="22" spans="1:3" ht="26.25" x14ac:dyDescent="0.4">
      <c r="A22" s="1" t="str">
        <v>U</v>
      </c>
      <c r="B22" s="2">
        <v>26</v>
      </c>
      <c r="C22" s="3" t="str">
        <f t="shared" si="0"/>
        <v>YES</v>
      </c>
    </row>
    <row r="23" spans="1:3" ht="26.25" x14ac:dyDescent="0.4">
      <c r="A23" s="1" t="str">
        <v>V</v>
      </c>
      <c r="B23" s="2">
        <v>33</v>
      </c>
      <c r="C23" s="3" t="str">
        <f t="shared" si="0"/>
        <v>YES</v>
      </c>
    </row>
    <row r="24" spans="1:3" ht="26.25" x14ac:dyDescent="0.4">
      <c r="A24" s="1" t="str">
        <v>W</v>
      </c>
      <c r="B24" s="2">
        <v>31</v>
      </c>
      <c r="C24" s="3" t="str">
        <f t="shared" si="0"/>
        <v>YES</v>
      </c>
    </row>
    <row r="25" spans="1:3" ht="26.25" x14ac:dyDescent="0.4">
      <c r="A25" s="1" t="str">
        <v>X</v>
      </c>
      <c r="B25" s="2">
        <v>18</v>
      </c>
      <c r="C25" s="3" t="str">
        <f t="shared" si="0"/>
        <v>YES</v>
      </c>
    </row>
    <row r="26" spans="1:3" ht="26.25" x14ac:dyDescent="0.4">
      <c r="A26" s="1" t="str">
        <v>Y</v>
      </c>
      <c r="B26" s="2">
        <v>17</v>
      </c>
      <c r="C26" s="3" t="str">
        <f t="shared" si="0"/>
        <v>NOT</v>
      </c>
    </row>
    <row r="27" spans="1:3" ht="26.25" x14ac:dyDescent="0.4">
      <c r="A27" s="1" t="str">
        <v>Z</v>
      </c>
      <c r="B27" s="2">
        <v>27</v>
      </c>
      <c r="C27" s="3" t="str">
        <f t="shared" si="0"/>
        <v>YES</v>
      </c>
    </row>
  </sheetData>
  <conditionalFormatting sqref="C2:C27">
    <cfRule type="containsText" dxfId="4" priority="1" operator="containsText" text="YES">
      <formula>NOT(ISERROR(SEARCH("YES",C2)))</formula>
    </cfRule>
    <cfRule type="containsText" dxfId="3" priority="2" operator="containsText" text="NOT">
      <formula>NOT(ISERROR(SEARCH("NOT",C2)))</formula>
    </cfRule>
    <cfRule type="containsText" dxfId="2" priority="3" operator="containsText" text="YES">
      <formula>NOT(ISERROR(SEARCH("YES",C2)))</formula>
    </cfRule>
  </conditionalFormatting>
  <pageMargins left="1" right="1" top="1" bottom="1" header="0.5" footer="0.5"/>
  <pageSetup paperSize="9" fitToHeight="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30F9D-485D-46C2-9260-8F705A1941CA}">
  <sheetPr>
    <tabColor theme="9" tint="0.39997558519241921"/>
  </sheetPr>
  <dimension ref="A1:K38"/>
  <sheetViews>
    <sheetView zoomScale="96" zoomScaleNormal="96" workbookViewId="0">
      <selection activeCell="I15" sqref="I15"/>
    </sheetView>
  </sheetViews>
  <sheetFormatPr defaultRowHeight="15" x14ac:dyDescent="0.25"/>
  <cols>
    <col min="1" max="1" width="15.42578125" bestFit="1" customWidth="1"/>
    <col min="2" max="2" width="10.7109375" bestFit="1" customWidth="1"/>
    <col min="3" max="3" width="25.5703125" bestFit="1" customWidth="1"/>
    <col min="4" max="4" width="15.5703125" bestFit="1" customWidth="1"/>
    <col min="5" max="5" width="6.7109375" bestFit="1" customWidth="1"/>
    <col min="6" max="6" width="12.5703125" bestFit="1" customWidth="1"/>
    <col min="7" max="7" width="18.28515625" bestFit="1" customWidth="1"/>
    <col min="8" max="8" width="19" bestFit="1" customWidth="1"/>
    <col min="9" max="9" width="15.5703125" bestFit="1" customWidth="1"/>
    <col min="10" max="10" width="7" bestFit="1" customWidth="1"/>
    <col min="11" max="12" width="14.28515625" bestFit="1" customWidth="1"/>
    <col min="13" max="13" width="6.7109375" bestFit="1" customWidth="1"/>
  </cols>
  <sheetData>
    <row r="1" spans="1:11" ht="15.75" thickBot="1" x14ac:dyDescent="0.3"/>
    <row r="2" spans="1:11" ht="19.5" thickBot="1" x14ac:dyDescent="0.35">
      <c r="A2" s="46" t="s">
        <v>42</v>
      </c>
      <c r="B2" s="47"/>
      <c r="C2" s="47"/>
      <c r="D2" s="48"/>
      <c r="F2" s="46" t="s">
        <v>43</v>
      </c>
      <c r="G2" s="47"/>
      <c r="H2" s="47"/>
      <c r="I2" s="48"/>
    </row>
    <row r="3" spans="1:11" x14ac:dyDescent="0.25">
      <c r="A3" s="8" t="s">
        <v>7</v>
      </c>
      <c r="B3" s="25" t="s">
        <v>8</v>
      </c>
      <c r="C3" s="25" t="s">
        <v>9</v>
      </c>
      <c r="D3" s="9" t="s">
        <v>10</v>
      </c>
      <c r="F3" s="27" t="s">
        <v>7</v>
      </c>
      <c r="G3" s="25" t="s">
        <v>8</v>
      </c>
      <c r="H3" s="25" t="s">
        <v>9</v>
      </c>
      <c r="I3" s="28" t="s">
        <v>10</v>
      </c>
    </row>
    <row r="4" spans="1:11" x14ac:dyDescent="0.25">
      <c r="A4" s="10" t="s">
        <v>11</v>
      </c>
      <c r="B4" s="11">
        <v>6</v>
      </c>
      <c r="C4" s="11">
        <v>5</v>
      </c>
      <c r="D4" s="12" t="b">
        <f>AND(B4&gt;=5,C4&gt;=5)</f>
        <v>1</v>
      </c>
      <c r="F4" s="10" t="s">
        <v>11</v>
      </c>
      <c r="G4" s="11">
        <v>6</v>
      </c>
      <c r="H4" s="11">
        <v>5</v>
      </c>
      <c r="I4" s="12" t="b">
        <f>OR(G4&gt;=4,H4&gt;=4)</f>
        <v>1</v>
      </c>
    </row>
    <row r="5" spans="1:11" x14ac:dyDescent="0.25">
      <c r="A5" s="10" t="s">
        <v>12</v>
      </c>
      <c r="B5" s="11">
        <v>6</v>
      </c>
      <c r="C5" s="11">
        <v>4.0999999999999996</v>
      </c>
      <c r="D5" s="12" t="b">
        <f>AND(B5&gt;=5,C5&gt;=4)</f>
        <v>1</v>
      </c>
      <c r="F5" s="10" t="s">
        <v>12</v>
      </c>
      <c r="G5" s="11">
        <v>5</v>
      </c>
      <c r="H5" s="11">
        <v>3</v>
      </c>
      <c r="I5" s="12" t="b">
        <f>OR(G5&gt;=4,H5&gt;=4)</f>
        <v>1</v>
      </c>
    </row>
    <row r="6" spans="1:11" x14ac:dyDescent="0.25">
      <c r="A6" s="10" t="s">
        <v>13</v>
      </c>
      <c r="B6" s="11">
        <v>3</v>
      </c>
      <c r="C6" s="11">
        <v>5</v>
      </c>
      <c r="D6" s="12" t="b">
        <f>AND(B6&gt;=5,C6&gt;=4)</f>
        <v>0</v>
      </c>
      <c r="F6" s="10" t="s">
        <v>13</v>
      </c>
      <c r="G6" s="11">
        <v>3</v>
      </c>
      <c r="H6" s="11">
        <v>4.5</v>
      </c>
      <c r="I6" s="12" t="b">
        <f>OR(G6&gt;=4,H6&gt;=4)</f>
        <v>1</v>
      </c>
    </row>
    <row r="7" spans="1:11" x14ac:dyDescent="0.25">
      <c r="A7" s="10" t="s">
        <v>14</v>
      </c>
      <c r="B7" s="11">
        <v>7</v>
      </c>
      <c r="C7" s="11">
        <v>4.2</v>
      </c>
      <c r="D7" s="12" t="b">
        <f>AND(B7&gt;=5,C7&gt;=4)</f>
        <v>1</v>
      </c>
      <c r="F7" s="10" t="s">
        <v>14</v>
      </c>
      <c r="G7" s="11">
        <v>7</v>
      </c>
      <c r="H7" s="11">
        <v>4.2</v>
      </c>
      <c r="I7" s="12" t="b">
        <f>OR(G7&gt;=4,H7&gt;=4)</f>
        <v>1</v>
      </c>
    </row>
    <row r="8" spans="1:11" ht="15.75" thickBot="1" x14ac:dyDescent="0.3">
      <c r="A8" s="13" t="s">
        <v>15</v>
      </c>
      <c r="B8" s="14">
        <v>2</v>
      </c>
      <c r="C8" s="14">
        <v>4</v>
      </c>
      <c r="D8" s="12" t="b">
        <f>AND(B8&gt;=5,C8&gt;=4)</f>
        <v>0</v>
      </c>
      <c r="F8" s="13" t="s">
        <v>15</v>
      </c>
      <c r="G8" s="14">
        <v>5.0999999999999996</v>
      </c>
      <c r="H8" s="14">
        <v>3.5</v>
      </c>
      <c r="I8" s="12" t="b">
        <f>OR(G8&gt;=4,H8&gt;=4)</f>
        <v>1</v>
      </c>
    </row>
    <row r="9" spans="1:11" x14ac:dyDescent="0.25">
      <c r="A9" s="26"/>
      <c r="B9" s="26"/>
      <c r="C9" s="26"/>
      <c r="D9" s="26"/>
      <c r="F9" s="26"/>
      <c r="G9" s="26"/>
      <c r="H9" s="26"/>
      <c r="I9" s="26"/>
    </row>
    <row r="10" spans="1:11" ht="15.75" thickBot="1" x14ac:dyDescent="0.3">
      <c r="A10" s="26"/>
      <c r="B10" s="26"/>
      <c r="C10" s="26"/>
      <c r="D10" s="26"/>
      <c r="F10" s="26"/>
      <c r="G10" s="26"/>
      <c r="H10" s="26"/>
      <c r="I10" s="26"/>
    </row>
    <row r="11" spans="1:11" ht="27" thickBot="1" x14ac:dyDescent="0.45">
      <c r="A11" s="49" t="s">
        <v>44</v>
      </c>
      <c r="B11" s="50"/>
      <c r="C11" s="50"/>
      <c r="D11" s="50"/>
      <c r="E11" s="50"/>
      <c r="F11" s="50"/>
      <c r="G11" s="50"/>
      <c r="H11" s="50"/>
      <c r="I11" s="51"/>
    </row>
    <row r="12" spans="1:11" ht="15.75" x14ac:dyDescent="0.25">
      <c r="A12" s="15" t="s">
        <v>16</v>
      </c>
      <c r="B12" s="16" t="s">
        <v>17</v>
      </c>
      <c r="C12" s="16" t="s">
        <v>18</v>
      </c>
      <c r="D12" s="16" t="s">
        <v>3</v>
      </c>
      <c r="E12" s="16" t="s">
        <v>4</v>
      </c>
      <c r="F12" s="16" t="s">
        <v>5</v>
      </c>
      <c r="G12" s="16" t="s">
        <v>19</v>
      </c>
      <c r="H12" s="17" t="s">
        <v>20</v>
      </c>
      <c r="I12" s="18" t="s">
        <v>21</v>
      </c>
      <c r="K12" s="16" t="s">
        <v>41</v>
      </c>
    </row>
    <row r="13" spans="1:11" x14ac:dyDescent="0.25">
      <c r="A13" s="19">
        <v>1</v>
      </c>
      <c r="B13" s="6" t="s">
        <v>6</v>
      </c>
      <c r="C13" s="6">
        <v>47</v>
      </c>
      <c r="D13" s="6">
        <v>20</v>
      </c>
      <c r="E13" s="6">
        <v>20</v>
      </c>
      <c r="F13" s="6">
        <v>40</v>
      </c>
      <c r="G13" s="20">
        <f t="shared" ref="G13:G20" si="0">SUM(C13:F13)</f>
        <v>127</v>
      </c>
      <c r="H13" s="21">
        <f t="shared" ref="H13:H27" si="1">G13/$K$13</f>
        <v>0.3175</v>
      </c>
      <c r="I13" s="22" t="str">
        <f t="shared" ref="I13:I27" si="2">IF(H13&gt;=33%,"PASS","FAIL")</f>
        <v>FAIL</v>
      </c>
      <c r="K13" s="24">
        <v>400</v>
      </c>
    </row>
    <row r="14" spans="1:11" x14ac:dyDescent="0.25">
      <c r="A14" s="19">
        <v>2</v>
      </c>
      <c r="B14" s="6" t="s">
        <v>22</v>
      </c>
      <c r="C14" s="6">
        <v>20</v>
      </c>
      <c r="D14" s="6">
        <v>2</v>
      </c>
      <c r="E14" s="6">
        <v>73</v>
      </c>
      <c r="F14" s="6">
        <v>47</v>
      </c>
      <c r="G14" s="20">
        <f t="shared" si="0"/>
        <v>142</v>
      </c>
      <c r="H14" s="21">
        <f t="shared" si="1"/>
        <v>0.35499999999999998</v>
      </c>
      <c r="I14" s="22" t="str">
        <f t="shared" si="2"/>
        <v>PASS</v>
      </c>
    </row>
    <row r="15" spans="1:11" x14ac:dyDescent="0.25">
      <c r="A15" s="19">
        <v>3</v>
      </c>
      <c r="B15" s="6" t="s">
        <v>23</v>
      </c>
      <c r="C15" s="6">
        <v>22</v>
      </c>
      <c r="D15" s="6">
        <v>77</v>
      </c>
      <c r="E15" s="6">
        <v>29</v>
      </c>
      <c r="F15" s="6">
        <v>93</v>
      </c>
      <c r="G15" s="20">
        <f t="shared" si="0"/>
        <v>221</v>
      </c>
      <c r="H15" s="21">
        <f t="shared" si="1"/>
        <v>0.55249999999999999</v>
      </c>
      <c r="I15" s="22" t="str">
        <f t="shared" si="2"/>
        <v>PASS</v>
      </c>
    </row>
    <row r="16" spans="1:11" x14ac:dyDescent="0.25">
      <c r="A16" s="19">
        <v>4</v>
      </c>
      <c r="B16" s="6" t="s">
        <v>24</v>
      </c>
      <c r="C16" s="6">
        <v>58</v>
      </c>
      <c r="D16" s="6">
        <v>80</v>
      </c>
      <c r="E16" s="6">
        <v>28</v>
      </c>
      <c r="F16" s="6">
        <v>92</v>
      </c>
      <c r="G16" s="20">
        <f t="shared" si="0"/>
        <v>258</v>
      </c>
      <c r="H16" s="21">
        <f t="shared" si="1"/>
        <v>0.64500000000000002</v>
      </c>
      <c r="I16" s="22" t="str">
        <f t="shared" si="2"/>
        <v>PASS</v>
      </c>
    </row>
    <row r="17" spans="1:9" x14ac:dyDescent="0.25">
      <c r="A17" s="19">
        <v>5</v>
      </c>
      <c r="B17" s="6" t="s">
        <v>25</v>
      </c>
      <c r="C17" s="6">
        <v>63</v>
      </c>
      <c r="D17" s="6">
        <v>85</v>
      </c>
      <c r="E17" s="6">
        <v>78</v>
      </c>
      <c r="F17" s="6">
        <v>85</v>
      </c>
      <c r="G17" s="20">
        <f t="shared" si="0"/>
        <v>311</v>
      </c>
      <c r="H17" s="21">
        <f t="shared" si="1"/>
        <v>0.77749999999999997</v>
      </c>
      <c r="I17" s="22" t="str">
        <f t="shared" si="2"/>
        <v>PASS</v>
      </c>
    </row>
    <row r="18" spans="1:9" x14ac:dyDescent="0.25">
      <c r="A18" s="19">
        <v>6</v>
      </c>
      <c r="B18" s="6" t="s">
        <v>26</v>
      </c>
      <c r="C18" s="6">
        <v>43</v>
      </c>
      <c r="D18" s="6">
        <v>20</v>
      </c>
      <c r="E18" s="6">
        <v>66</v>
      </c>
      <c r="F18" s="6">
        <v>20</v>
      </c>
      <c r="G18" s="20">
        <f t="shared" si="0"/>
        <v>149</v>
      </c>
      <c r="H18" s="21">
        <f t="shared" si="1"/>
        <v>0.3725</v>
      </c>
      <c r="I18" s="22" t="str">
        <f t="shared" si="2"/>
        <v>PASS</v>
      </c>
    </row>
    <row r="19" spans="1:9" x14ac:dyDescent="0.25">
      <c r="A19" s="19">
        <v>7</v>
      </c>
      <c r="B19" s="6" t="s">
        <v>27</v>
      </c>
      <c r="C19" s="6">
        <v>21</v>
      </c>
      <c r="D19" s="6">
        <v>27</v>
      </c>
      <c r="E19" s="6">
        <v>40</v>
      </c>
      <c r="F19" s="6">
        <v>20</v>
      </c>
      <c r="G19" s="20">
        <f t="shared" si="0"/>
        <v>108</v>
      </c>
      <c r="H19" s="21">
        <f t="shared" si="1"/>
        <v>0.27</v>
      </c>
      <c r="I19" s="22" t="str">
        <f t="shared" si="2"/>
        <v>FAIL</v>
      </c>
    </row>
    <row r="20" spans="1:9" x14ac:dyDescent="0.25">
      <c r="A20" s="19">
        <v>8</v>
      </c>
      <c r="B20" s="6" t="s">
        <v>28</v>
      </c>
      <c r="C20" s="6">
        <v>21</v>
      </c>
      <c r="D20" s="6">
        <v>35</v>
      </c>
      <c r="E20" s="6">
        <v>36</v>
      </c>
      <c r="F20" s="6">
        <v>41</v>
      </c>
      <c r="G20" s="20">
        <f t="shared" si="0"/>
        <v>133</v>
      </c>
      <c r="H20" s="21">
        <f t="shared" si="1"/>
        <v>0.33250000000000002</v>
      </c>
      <c r="I20" s="22" t="str">
        <f t="shared" si="2"/>
        <v>PASS</v>
      </c>
    </row>
    <row r="21" spans="1:9" x14ac:dyDescent="0.25">
      <c r="A21" s="19">
        <v>9</v>
      </c>
      <c r="B21" s="6" t="s">
        <v>29</v>
      </c>
      <c r="C21" s="6">
        <v>61</v>
      </c>
      <c r="D21" s="6">
        <v>19</v>
      </c>
      <c r="E21" s="6">
        <v>25</v>
      </c>
      <c r="F21" s="6">
        <v>73</v>
      </c>
      <c r="G21" s="20">
        <v>100</v>
      </c>
      <c r="H21" s="21">
        <f t="shared" si="1"/>
        <v>0.25</v>
      </c>
      <c r="I21" s="22" t="str">
        <f t="shared" si="2"/>
        <v>FAIL</v>
      </c>
    </row>
    <row r="22" spans="1:9" x14ac:dyDescent="0.25">
      <c r="A22" s="19">
        <v>10</v>
      </c>
      <c r="B22" s="6" t="s">
        <v>30</v>
      </c>
      <c r="C22" s="6">
        <v>69</v>
      </c>
      <c r="D22" s="6">
        <v>42</v>
      </c>
      <c r="E22" s="6">
        <v>59</v>
      </c>
      <c r="F22" s="6">
        <v>41</v>
      </c>
      <c r="G22" s="20">
        <f t="shared" ref="G22:G27" si="3">SUM(C22:F22)</f>
        <v>211</v>
      </c>
      <c r="H22" s="21">
        <f t="shared" si="1"/>
        <v>0.52749999999999997</v>
      </c>
      <c r="I22" s="22" t="str">
        <f t="shared" si="2"/>
        <v>PASS</v>
      </c>
    </row>
    <row r="23" spans="1:9" x14ac:dyDescent="0.25">
      <c r="A23" s="19">
        <v>11</v>
      </c>
      <c r="B23" s="6" t="s">
        <v>31</v>
      </c>
      <c r="C23" s="6">
        <v>27</v>
      </c>
      <c r="D23" s="6">
        <v>75</v>
      </c>
      <c r="E23" s="6">
        <v>68</v>
      </c>
      <c r="F23" s="6">
        <v>79</v>
      </c>
      <c r="G23" s="20">
        <f t="shared" si="3"/>
        <v>249</v>
      </c>
      <c r="H23" s="21">
        <f t="shared" si="1"/>
        <v>0.62250000000000005</v>
      </c>
      <c r="I23" s="22" t="str">
        <f t="shared" si="2"/>
        <v>PASS</v>
      </c>
    </row>
    <row r="24" spans="1:9" x14ac:dyDescent="0.25">
      <c r="A24" s="19">
        <v>12</v>
      </c>
      <c r="B24" s="6" t="s">
        <v>32</v>
      </c>
      <c r="C24" s="6">
        <v>76</v>
      </c>
      <c r="D24" s="6">
        <v>54</v>
      </c>
      <c r="E24" s="6">
        <v>41</v>
      </c>
      <c r="F24" s="6">
        <v>45</v>
      </c>
      <c r="G24" s="20">
        <f t="shared" si="3"/>
        <v>216</v>
      </c>
      <c r="H24" s="21">
        <f t="shared" si="1"/>
        <v>0.54</v>
      </c>
      <c r="I24" s="22" t="str">
        <f t="shared" si="2"/>
        <v>PASS</v>
      </c>
    </row>
    <row r="25" spans="1:9" x14ac:dyDescent="0.25">
      <c r="A25" s="19">
        <v>13</v>
      </c>
      <c r="B25" s="6" t="s">
        <v>33</v>
      </c>
      <c r="C25" s="6">
        <v>29</v>
      </c>
      <c r="D25" s="6">
        <v>15</v>
      </c>
      <c r="E25" s="6">
        <v>81</v>
      </c>
      <c r="F25" s="6">
        <v>56</v>
      </c>
      <c r="G25" s="20">
        <f t="shared" si="3"/>
        <v>181</v>
      </c>
      <c r="H25" s="21">
        <f t="shared" si="1"/>
        <v>0.45250000000000001</v>
      </c>
      <c r="I25" s="22" t="str">
        <f t="shared" si="2"/>
        <v>PASS</v>
      </c>
    </row>
    <row r="26" spans="1:9" x14ac:dyDescent="0.25">
      <c r="A26" s="19">
        <v>14</v>
      </c>
      <c r="B26" s="6" t="s">
        <v>34</v>
      </c>
      <c r="C26" s="6">
        <v>62</v>
      </c>
      <c r="D26" s="6">
        <v>21</v>
      </c>
      <c r="E26" s="6">
        <v>67</v>
      </c>
      <c r="F26" s="6">
        <v>88</v>
      </c>
      <c r="G26" s="20">
        <f t="shared" si="3"/>
        <v>238</v>
      </c>
      <c r="H26" s="21">
        <f t="shared" si="1"/>
        <v>0.59499999999999997</v>
      </c>
      <c r="I26" s="22" t="str">
        <f t="shared" si="2"/>
        <v>PASS</v>
      </c>
    </row>
    <row r="27" spans="1:9" ht="15.75" thickBot="1" x14ac:dyDescent="0.3">
      <c r="A27" s="23">
        <v>15</v>
      </c>
      <c r="B27" s="7" t="s">
        <v>35</v>
      </c>
      <c r="C27" s="7">
        <v>15</v>
      </c>
      <c r="D27" s="7">
        <v>95</v>
      </c>
      <c r="E27" s="7">
        <v>29</v>
      </c>
      <c r="F27" s="7">
        <v>64</v>
      </c>
      <c r="G27" s="20">
        <f t="shared" si="3"/>
        <v>203</v>
      </c>
      <c r="H27" s="21">
        <f t="shared" si="1"/>
        <v>0.50749999999999995</v>
      </c>
      <c r="I27" s="22" t="str">
        <f t="shared" si="2"/>
        <v>PASS</v>
      </c>
    </row>
    <row r="29" spans="1:9" ht="15.75" thickBot="1" x14ac:dyDescent="0.3"/>
    <row r="30" spans="1:9" ht="21.75" thickBot="1" x14ac:dyDescent="0.3">
      <c r="A30" s="29" t="s">
        <v>36</v>
      </c>
      <c r="B30" s="30" t="s">
        <v>37</v>
      </c>
      <c r="C30" s="31" t="s">
        <v>21</v>
      </c>
    </row>
    <row r="31" spans="1:9" ht="22.5" thickTop="1" thickBot="1" x14ac:dyDescent="0.3">
      <c r="A31" s="32" t="s">
        <v>11</v>
      </c>
      <c r="B31" s="33"/>
      <c r="C31" s="34" t="str">
        <f t="shared" ref="C31:C38" si="4">IF(B31="","PAYMENT PENDING","SUCCESSFULL")</f>
        <v>PAYMENT PENDING</v>
      </c>
    </row>
    <row r="32" spans="1:9" ht="22.5" thickTop="1" thickBot="1" x14ac:dyDescent="0.3">
      <c r="A32" s="32" t="s">
        <v>12</v>
      </c>
      <c r="B32" s="33"/>
      <c r="C32" s="34" t="str">
        <f t="shared" si="4"/>
        <v>PAYMENT PENDING</v>
      </c>
    </row>
    <row r="33" spans="1:3" ht="22.5" thickTop="1" thickBot="1" x14ac:dyDescent="0.3">
      <c r="A33" s="32" t="s">
        <v>13</v>
      </c>
      <c r="B33" s="33">
        <v>56326</v>
      </c>
      <c r="C33" s="34" t="str">
        <f t="shared" si="4"/>
        <v>SUCCESSFULL</v>
      </c>
    </row>
    <row r="34" spans="1:3" ht="22.5" thickTop="1" thickBot="1" x14ac:dyDescent="0.3">
      <c r="A34" s="32" t="s">
        <v>14</v>
      </c>
      <c r="B34" s="33">
        <v>20000</v>
      </c>
      <c r="C34" s="34" t="str">
        <f t="shared" si="4"/>
        <v>SUCCESSFULL</v>
      </c>
    </row>
    <row r="35" spans="1:3" ht="22.5" thickTop="1" thickBot="1" x14ac:dyDescent="0.3">
      <c r="A35" s="32" t="s">
        <v>15</v>
      </c>
      <c r="B35" s="33"/>
      <c r="C35" s="34" t="str">
        <f t="shared" si="4"/>
        <v>PAYMENT PENDING</v>
      </c>
    </row>
    <row r="36" spans="1:3" ht="22.5" thickTop="1" thickBot="1" x14ac:dyDescent="0.3">
      <c r="A36" s="32" t="s">
        <v>38</v>
      </c>
      <c r="B36" s="33">
        <v>63000</v>
      </c>
      <c r="C36" s="34" t="str">
        <f t="shared" si="4"/>
        <v>SUCCESSFULL</v>
      </c>
    </row>
    <row r="37" spans="1:3" ht="22.5" thickTop="1" thickBot="1" x14ac:dyDescent="0.3">
      <c r="A37" s="32" t="s">
        <v>39</v>
      </c>
      <c r="B37" s="33"/>
      <c r="C37" s="34" t="str">
        <f t="shared" si="4"/>
        <v>PAYMENT PENDING</v>
      </c>
    </row>
    <row r="38" spans="1:3" ht="22.5" thickTop="1" thickBot="1" x14ac:dyDescent="0.3">
      <c r="A38" s="35" t="s">
        <v>40</v>
      </c>
      <c r="B38" s="36">
        <v>52000</v>
      </c>
      <c r="C38" s="37" t="str">
        <f t="shared" si="4"/>
        <v>SUCCESSFULL</v>
      </c>
    </row>
  </sheetData>
  <mergeCells count="3">
    <mergeCell ref="A2:D2"/>
    <mergeCell ref="F2:I2"/>
    <mergeCell ref="A11:I11"/>
  </mergeCells>
  <conditionalFormatting sqref="I13:I27">
    <cfRule type="containsText" dxfId="1" priority="1" operator="containsText" text="FAIL">
      <formula>NOT(ISERROR(SEARCH("FAIL",I13)))</formula>
    </cfRule>
    <cfRule type="containsText" dxfId="0" priority="2" operator="containsText" text="PASS">
      <formula>NOT(ISERROR(SEARCH("PASS",I13)))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A276E-BE5A-46A2-80B0-7F9FE3F58406}">
  <sheetPr>
    <tabColor rgb="FFFF0000"/>
  </sheetPr>
  <dimension ref="C1:L28"/>
  <sheetViews>
    <sheetView tabSelected="1" zoomScale="98" zoomScaleNormal="98" workbookViewId="0">
      <selection activeCell="E28" sqref="E28"/>
    </sheetView>
  </sheetViews>
  <sheetFormatPr defaultRowHeight="15" x14ac:dyDescent="0.25"/>
  <cols>
    <col min="3" max="3" width="22.5703125" bestFit="1" customWidth="1"/>
    <col min="4" max="4" width="11.7109375" bestFit="1" customWidth="1"/>
    <col min="5" max="5" width="15.5703125" bestFit="1" customWidth="1"/>
    <col min="6" max="6" width="13.28515625" bestFit="1" customWidth="1"/>
    <col min="7" max="7" width="16.85546875" bestFit="1" customWidth="1"/>
    <col min="8" max="8" width="11" bestFit="1" customWidth="1"/>
    <col min="9" max="9" width="6.85546875" bestFit="1" customWidth="1"/>
    <col min="10" max="10" width="13.85546875" bestFit="1" customWidth="1"/>
    <col min="11" max="11" width="11" bestFit="1" customWidth="1"/>
    <col min="12" max="12" width="39.85546875" bestFit="1" customWidth="1"/>
  </cols>
  <sheetData>
    <row r="1" spans="3:12" ht="15.75" thickBot="1" x14ac:dyDescent="0.3"/>
    <row r="2" spans="3:12" ht="33" thickTop="1" thickBot="1" x14ac:dyDescent="0.3">
      <c r="C2" s="39" t="s">
        <v>17</v>
      </c>
      <c r="D2" s="39" t="s">
        <v>18</v>
      </c>
      <c r="E2" s="39" t="s">
        <v>3</v>
      </c>
      <c r="F2" s="39" t="s">
        <v>4</v>
      </c>
      <c r="G2" s="39" t="s">
        <v>5</v>
      </c>
      <c r="H2" s="39" t="s">
        <v>19</v>
      </c>
      <c r="I2" s="39" t="s">
        <v>20</v>
      </c>
      <c r="J2" s="39" t="s">
        <v>21</v>
      </c>
      <c r="K2" s="39" t="s">
        <v>45</v>
      </c>
      <c r="L2" s="39" t="s">
        <v>49</v>
      </c>
    </row>
    <row r="3" spans="3:12" ht="22.5" thickTop="1" thickBot="1" x14ac:dyDescent="0.4">
      <c r="C3" s="41" t="s">
        <v>6</v>
      </c>
      <c r="D3" s="41">
        <v>47</v>
      </c>
      <c r="E3" s="41">
        <v>40</v>
      </c>
      <c r="F3" s="41">
        <v>75</v>
      </c>
      <c r="G3" s="41">
        <v>40</v>
      </c>
      <c r="H3" s="43">
        <f t="shared" ref="H3:H17" si="0">SUM(D3:G3)</f>
        <v>202</v>
      </c>
      <c r="I3" s="44">
        <f t="shared" ref="I3:I17" si="1">H3/400</f>
        <v>0.505</v>
      </c>
      <c r="J3" s="45" t="str">
        <f t="shared" ref="J3:J17" si="2">IF(I3&gt;=33%,"pass","fail")</f>
        <v>pass</v>
      </c>
      <c r="K3" s="40">
        <f t="shared" ref="K3:K12" si="3">RANK(I3,$I$3:$I$17,0)</f>
        <v>9</v>
      </c>
      <c r="L3" s="42" t="b">
        <f>ISTEXT(K3)</f>
        <v>0</v>
      </c>
    </row>
    <row r="4" spans="3:12" ht="22.5" thickTop="1" thickBot="1" x14ac:dyDescent="0.4">
      <c r="C4" s="41" t="s">
        <v>22</v>
      </c>
      <c r="D4" s="41">
        <v>20</v>
      </c>
      <c r="E4" s="41">
        <v>2</v>
      </c>
      <c r="F4" s="41">
        <v>73</v>
      </c>
      <c r="G4" s="41">
        <v>47</v>
      </c>
      <c r="H4" s="43">
        <f t="shared" si="0"/>
        <v>142</v>
      </c>
      <c r="I4" s="44">
        <f t="shared" si="1"/>
        <v>0.35499999999999998</v>
      </c>
      <c r="J4" s="45" t="str">
        <f t="shared" si="2"/>
        <v>pass</v>
      </c>
      <c r="K4" s="40">
        <f t="shared" si="3"/>
        <v>13</v>
      </c>
      <c r="L4" s="42" t="b">
        <f>ISNUMBER(K4)</f>
        <v>1</v>
      </c>
    </row>
    <row r="5" spans="3:12" ht="22.5" thickTop="1" thickBot="1" x14ac:dyDescent="0.4">
      <c r="C5" s="41" t="s">
        <v>23</v>
      </c>
      <c r="D5" s="41">
        <v>22</v>
      </c>
      <c r="E5" s="41">
        <v>77</v>
      </c>
      <c r="F5" s="41">
        <v>29</v>
      </c>
      <c r="G5" s="41">
        <v>93</v>
      </c>
      <c r="H5" s="43">
        <f t="shared" si="0"/>
        <v>221</v>
      </c>
      <c r="I5" s="44">
        <f t="shared" si="1"/>
        <v>0.55249999999999999</v>
      </c>
      <c r="J5" s="45" t="str">
        <f t="shared" si="2"/>
        <v>pass</v>
      </c>
      <c r="K5" s="40">
        <f t="shared" si="3"/>
        <v>5</v>
      </c>
      <c r="L5" s="42" t="b">
        <f>_xlfn.ISFORMULA(K5)</f>
        <v>1</v>
      </c>
    </row>
    <row r="6" spans="3:12" ht="22.5" thickTop="1" thickBot="1" x14ac:dyDescent="0.4">
      <c r="C6" s="41" t="s">
        <v>24</v>
      </c>
      <c r="D6" s="41">
        <v>58</v>
      </c>
      <c r="E6" s="41">
        <v>80</v>
      </c>
      <c r="F6" s="41">
        <v>28</v>
      </c>
      <c r="G6" s="41">
        <v>92</v>
      </c>
      <c r="H6" s="43">
        <f t="shared" si="0"/>
        <v>258</v>
      </c>
      <c r="I6" s="44">
        <f t="shared" si="1"/>
        <v>0.64500000000000002</v>
      </c>
      <c r="J6" s="45" t="str">
        <f t="shared" si="2"/>
        <v>pass</v>
      </c>
      <c r="K6" s="40">
        <f t="shared" si="3"/>
        <v>2</v>
      </c>
      <c r="L6" s="42" t="b">
        <f>ISERROR(K6)</f>
        <v>0</v>
      </c>
    </row>
    <row r="7" spans="3:12" ht="22.5" thickTop="1" thickBot="1" x14ac:dyDescent="0.4">
      <c r="C7" s="41" t="s">
        <v>25</v>
      </c>
      <c r="D7" s="41">
        <v>63</v>
      </c>
      <c r="E7" s="41">
        <v>85</v>
      </c>
      <c r="F7" s="41">
        <v>78</v>
      </c>
      <c r="G7" s="41">
        <v>85</v>
      </c>
      <c r="H7" s="43">
        <f t="shared" si="0"/>
        <v>311</v>
      </c>
      <c r="I7" s="44">
        <f t="shared" si="1"/>
        <v>0.77749999999999997</v>
      </c>
      <c r="J7" s="45" t="str">
        <f t="shared" si="2"/>
        <v>pass</v>
      </c>
      <c r="K7" s="40">
        <f t="shared" si="3"/>
        <v>1</v>
      </c>
      <c r="L7" s="42" t="b">
        <f>ISNA(K7)</f>
        <v>0</v>
      </c>
    </row>
    <row r="8" spans="3:12" ht="22.5" thickTop="1" thickBot="1" x14ac:dyDescent="0.4">
      <c r="C8" s="41" t="s">
        <v>26</v>
      </c>
      <c r="D8" s="41">
        <v>43</v>
      </c>
      <c r="E8" s="41">
        <v>20</v>
      </c>
      <c r="F8" s="41">
        <v>66</v>
      </c>
      <c r="G8" s="41">
        <v>20</v>
      </c>
      <c r="H8" s="43">
        <f t="shared" si="0"/>
        <v>149</v>
      </c>
      <c r="I8" s="44">
        <f t="shared" si="1"/>
        <v>0.3725</v>
      </c>
      <c r="J8" s="45" t="str">
        <f t="shared" si="2"/>
        <v>pass</v>
      </c>
      <c r="K8" s="40">
        <f t="shared" si="3"/>
        <v>12</v>
      </c>
      <c r="L8" s="42" t="b">
        <f>ISERR(K8)</f>
        <v>0</v>
      </c>
    </row>
    <row r="9" spans="3:12" ht="22.5" thickTop="1" thickBot="1" x14ac:dyDescent="0.4">
      <c r="C9" s="41" t="s">
        <v>27</v>
      </c>
      <c r="D9" s="41">
        <v>21</v>
      </c>
      <c r="E9" s="41">
        <v>27</v>
      </c>
      <c r="F9" s="41">
        <v>40</v>
      </c>
      <c r="G9" s="41">
        <v>20</v>
      </c>
      <c r="H9" s="43">
        <f t="shared" si="0"/>
        <v>108</v>
      </c>
      <c r="I9" s="44">
        <f t="shared" si="1"/>
        <v>0.27</v>
      </c>
      <c r="J9" s="45" t="str">
        <f t="shared" si="2"/>
        <v>fail</v>
      </c>
      <c r="K9" s="40">
        <f t="shared" si="3"/>
        <v>15</v>
      </c>
      <c r="L9" s="42" t="b">
        <f>ISBLANK(K9)</f>
        <v>0</v>
      </c>
    </row>
    <row r="10" spans="3:12" ht="22.5" thickTop="1" thickBot="1" x14ac:dyDescent="0.4">
      <c r="C10" s="41" t="s">
        <v>28</v>
      </c>
      <c r="D10" s="41">
        <v>21</v>
      </c>
      <c r="E10" s="41">
        <v>35</v>
      </c>
      <c r="F10" s="41">
        <v>36</v>
      </c>
      <c r="G10" s="41">
        <v>41</v>
      </c>
      <c r="H10" s="43">
        <f t="shared" si="0"/>
        <v>133</v>
      </c>
      <c r="I10" s="44">
        <f t="shared" si="1"/>
        <v>0.33250000000000002</v>
      </c>
      <c r="J10" s="45" t="str">
        <f t="shared" si="2"/>
        <v>pass</v>
      </c>
      <c r="K10" s="40">
        <f t="shared" si="3"/>
        <v>14</v>
      </c>
      <c r="L10" s="42" t="b">
        <f>ISODD(K10)</f>
        <v>0</v>
      </c>
    </row>
    <row r="11" spans="3:12" ht="22.5" thickTop="1" thickBot="1" x14ac:dyDescent="0.4">
      <c r="C11" s="41" t="s">
        <v>29</v>
      </c>
      <c r="D11" s="41">
        <v>61</v>
      </c>
      <c r="E11" s="41">
        <v>19</v>
      </c>
      <c r="F11" s="41">
        <v>25</v>
      </c>
      <c r="G11" s="41">
        <v>73</v>
      </c>
      <c r="H11" s="43">
        <f t="shared" si="0"/>
        <v>178</v>
      </c>
      <c r="I11" s="44">
        <f t="shared" si="1"/>
        <v>0.44500000000000001</v>
      </c>
      <c r="J11" s="45" t="str">
        <f t="shared" si="2"/>
        <v>pass</v>
      </c>
      <c r="K11" s="40">
        <f t="shared" si="3"/>
        <v>11</v>
      </c>
      <c r="L11" s="42" t="b">
        <f>ISEVEN(K11)</f>
        <v>0</v>
      </c>
    </row>
    <row r="12" spans="3:12" ht="22.5" thickTop="1" thickBot="1" x14ac:dyDescent="0.4">
      <c r="C12" s="41" t="s">
        <v>30</v>
      </c>
      <c r="D12" s="41">
        <v>69</v>
      </c>
      <c r="E12" s="41">
        <v>42</v>
      </c>
      <c r="F12" s="41">
        <v>59</v>
      </c>
      <c r="G12" s="41">
        <v>41</v>
      </c>
      <c r="H12" s="43">
        <f t="shared" si="0"/>
        <v>211</v>
      </c>
      <c r="I12" s="44">
        <f t="shared" si="1"/>
        <v>0.52749999999999997</v>
      </c>
      <c r="J12" s="45" t="str">
        <f t="shared" si="2"/>
        <v>pass</v>
      </c>
      <c r="K12" s="40">
        <f t="shared" si="3"/>
        <v>7</v>
      </c>
      <c r="L12" s="42" t="b">
        <f>ISLOGICAL(J12)</f>
        <v>0</v>
      </c>
    </row>
    <row r="13" spans="3:12" ht="22.5" thickTop="1" thickBot="1" x14ac:dyDescent="0.4">
      <c r="C13" s="41" t="s">
        <v>31</v>
      </c>
      <c r="D13" s="41">
        <v>27</v>
      </c>
      <c r="E13" s="41">
        <v>75</v>
      </c>
      <c r="F13" s="41">
        <v>68</v>
      </c>
      <c r="G13" s="41">
        <v>79</v>
      </c>
      <c r="H13" s="43">
        <f t="shared" si="0"/>
        <v>249</v>
      </c>
      <c r="I13" s="44">
        <f t="shared" si="1"/>
        <v>0.62250000000000005</v>
      </c>
      <c r="J13" s="45" t="str">
        <f t="shared" si="2"/>
        <v>pass</v>
      </c>
      <c r="K13" s="40" t="s">
        <v>11</v>
      </c>
      <c r="L13" s="42" t="b">
        <f>ISBLANK(K13)</f>
        <v>0</v>
      </c>
    </row>
    <row r="14" spans="3:12" ht="22.5" thickTop="1" thickBot="1" x14ac:dyDescent="0.4">
      <c r="C14" s="41" t="s">
        <v>32</v>
      </c>
      <c r="D14" s="41">
        <v>76</v>
      </c>
      <c r="E14" s="41">
        <v>54</v>
      </c>
      <c r="F14" s="41">
        <v>41</v>
      </c>
      <c r="G14" s="41">
        <v>45</v>
      </c>
      <c r="H14" s="43">
        <f t="shared" si="0"/>
        <v>216</v>
      </c>
      <c r="I14" s="44">
        <f t="shared" si="1"/>
        <v>0.54</v>
      </c>
      <c r="J14" s="45" t="str">
        <f t="shared" si="2"/>
        <v>pass</v>
      </c>
      <c r="K14" s="40">
        <f>RANK(I14,$I$3:$I$17,0)</f>
        <v>6</v>
      </c>
      <c r="L14" s="42" t="b">
        <f>ISBLANK(K14)</f>
        <v>0</v>
      </c>
    </row>
    <row r="15" spans="3:12" ht="22.5" thickTop="1" thickBot="1" x14ac:dyDescent="0.4">
      <c r="C15" s="41" t="s">
        <v>33</v>
      </c>
      <c r="D15" s="41">
        <v>29</v>
      </c>
      <c r="E15" s="41">
        <v>15</v>
      </c>
      <c r="F15" s="41">
        <v>81</v>
      </c>
      <c r="G15" s="41">
        <v>56</v>
      </c>
      <c r="H15" s="43">
        <f t="shared" si="0"/>
        <v>181</v>
      </c>
      <c r="I15" s="44">
        <f t="shared" si="1"/>
        <v>0.45250000000000001</v>
      </c>
      <c r="J15" s="45" t="str">
        <f t="shared" si="2"/>
        <v>pass</v>
      </c>
      <c r="K15" s="40">
        <f>RANK(I15,$I$3:$I$17,0)</f>
        <v>10</v>
      </c>
      <c r="L15" s="42" t="b">
        <f>ISBLANK(K15)</f>
        <v>0</v>
      </c>
    </row>
    <row r="16" spans="3:12" ht="22.5" thickTop="1" thickBot="1" x14ac:dyDescent="0.4">
      <c r="C16" s="41" t="s">
        <v>34</v>
      </c>
      <c r="D16" s="41">
        <v>62</v>
      </c>
      <c r="E16" s="41">
        <v>21</v>
      </c>
      <c r="F16" s="41">
        <v>67</v>
      </c>
      <c r="G16" s="41">
        <v>88</v>
      </c>
      <c r="H16" s="43">
        <f t="shared" si="0"/>
        <v>238</v>
      </c>
      <c r="I16" s="44">
        <f t="shared" si="1"/>
        <v>0.59499999999999997</v>
      </c>
      <c r="J16" s="45" t="str">
        <f t="shared" si="2"/>
        <v>pass</v>
      </c>
      <c r="K16" s="40">
        <f>RANK(I16,$I$3:$I$17,0)</f>
        <v>4</v>
      </c>
      <c r="L16" s="42" t="b">
        <f>ISBLANK(K16)</f>
        <v>0</v>
      </c>
    </row>
    <row r="17" spans="3:12" ht="22.5" thickTop="1" thickBot="1" x14ac:dyDescent="0.4">
      <c r="C17" s="41" t="s">
        <v>35</v>
      </c>
      <c r="D17" s="41">
        <v>15</v>
      </c>
      <c r="E17" s="41">
        <v>95</v>
      </c>
      <c r="F17" s="41">
        <v>29</v>
      </c>
      <c r="G17" s="41">
        <v>64</v>
      </c>
      <c r="H17" s="43">
        <f t="shared" si="0"/>
        <v>203</v>
      </c>
      <c r="I17" s="44">
        <f t="shared" si="1"/>
        <v>0.50749999999999995</v>
      </c>
      <c r="J17" s="45" t="str">
        <f t="shared" si="2"/>
        <v>pass</v>
      </c>
      <c r="K17" s="40">
        <f>RANK(I17,$I$3:$I$17,0)</f>
        <v>8</v>
      </c>
      <c r="L17" s="42" t="b">
        <f>ISBLANK(K17)</f>
        <v>0</v>
      </c>
    </row>
    <row r="18" spans="3:12" ht="15.75" thickTop="1" x14ac:dyDescent="0.25"/>
    <row r="19" spans="3:12" ht="15.75" thickBot="1" x14ac:dyDescent="0.3"/>
    <row r="20" spans="3:12" ht="20.25" thickTop="1" thickBot="1" x14ac:dyDescent="0.35">
      <c r="C20" s="52" t="s">
        <v>46</v>
      </c>
      <c r="D20" s="52"/>
      <c r="G20" s="52" t="s">
        <v>47</v>
      </c>
      <c r="H20" s="52"/>
      <c r="K20" s="52" t="s">
        <v>48</v>
      </c>
      <c r="L20" s="52"/>
    </row>
    <row r="21" spans="3:12" ht="16.5" thickTop="1" thickBot="1" x14ac:dyDescent="0.3">
      <c r="C21" s="38">
        <v>1000.3692</v>
      </c>
      <c r="D21" s="38">
        <f t="shared" ref="D21:D27" si="4">ROUND(C21,2)</f>
        <v>1000.37</v>
      </c>
      <c r="G21" s="38">
        <v>1000.3692</v>
      </c>
      <c r="H21" s="38">
        <f t="shared" ref="H21:H27" si="5">ROUNDUP(G21,1)</f>
        <v>1000.4</v>
      </c>
      <c r="K21" s="38">
        <v>1000.3692</v>
      </c>
      <c r="L21" s="38">
        <f t="shared" ref="L21:L27" si="6">ROUNDDOWN(K21,1)</f>
        <v>1000.3</v>
      </c>
    </row>
    <row r="22" spans="3:12" ht="16.5" thickTop="1" thickBot="1" x14ac:dyDescent="0.3">
      <c r="C22" s="38">
        <v>500.63200000000001</v>
      </c>
      <c r="D22" s="38">
        <f t="shared" si="4"/>
        <v>500.63</v>
      </c>
      <c r="G22" s="38">
        <v>500.63200000000001</v>
      </c>
      <c r="H22" s="38">
        <f t="shared" si="5"/>
        <v>500.70000000000005</v>
      </c>
      <c r="K22" s="38">
        <v>500.63200000000001</v>
      </c>
      <c r="L22" s="38">
        <f t="shared" si="6"/>
        <v>500.6</v>
      </c>
    </row>
    <row r="23" spans="3:12" ht="16.5" thickTop="1" thickBot="1" x14ac:dyDescent="0.3">
      <c r="C23" s="38">
        <v>856.36199999999997</v>
      </c>
      <c r="D23" s="38">
        <f t="shared" si="4"/>
        <v>856.36</v>
      </c>
      <c r="G23" s="38">
        <v>856.36199999999997</v>
      </c>
      <c r="H23" s="38">
        <f t="shared" si="5"/>
        <v>856.4</v>
      </c>
      <c r="K23" s="38">
        <v>856.36199999999997</v>
      </c>
      <c r="L23" s="38">
        <f t="shared" si="6"/>
        <v>856.3</v>
      </c>
    </row>
    <row r="24" spans="3:12" ht="16.5" thickTop="1" thickBot="1" x14ac:dyDescent="0.3">
      <c r="C24" s="38">
        <v>488.625</v>
      </c>
      <c r="D24" s="38">
        <f t="shared" si="4"/>
        <v>488.63</v>
      </c>
      <c r="G24" s="38">
        <v>488.625</v>
      </c>
      <c r="H24" s="38">
        <f t="shared" si="5"/>
        <v>488.70000000000005</v>
      </c>
      <c r="K24" s="38">
        <v>488.625</v>
      </c>
      <c r="L24" s="38">
        <f t="shared" si="6"/>
        <v>488.6</v>
      </c>
    </row>
    <row r="25" spans="3:12" ht="16.5" thickTop="1" thickBot="1" x14ac:dyDescent="0.3">
      <c r="C25" s="38">
        <v>968.32500000000005</v>
      </c>
      <c r="D25" s="38">
        <f t="shared" si="4"/>
        <v>968.33</v>
      </c>
      <c r="G25" s="38">
        <v>968.32500000000005</v>
      </c>
      <c r="H25" s="38">
        <f t="shared" si="5"/>
        <v>968.4</v>
      </c>
      <c r="K25" s="38">
        <v>968.32500000000005</v>
      </c>
      <c r="L25" s="38">
        <f t="shared" si="6"/>
        <v>968.3</v>
      </c>
    </row>
    <row r="26" spans="3:12" ht="16.5" thickTop="1" thickBot="1" x14ac:dyDescent="0.3">
      <c r="C26" s="38">
        <v>869.95399999999995</v>
      </c>
      <c r="D26" s="38">
        <f t="shared" si="4"/>
        <v>869.95</v>
      </c>
      <c r="G26" s="38">
        <v>869.95399999999995</v>
      </c>
      <c r="H26" s="38">
        <f t="shared" si="5"/>
        <v>870</v>
      </c>
      <c r="K26" s="38">
        <v>869.95399999999995</v>
      </c>
      <c r="L26" s="38">
        <f t="shared" si="6"/>
        <v>869.9</v>
      </c>
    </row>
    <row r="27" spans="3:12" ht="16.5" thickTop="1" thickBot="1" x14ac:dyDescent="0.3">
      <c r="C27" s="38">
        <v>8964.7849999999999</v>
      </c>
      <c r="D27" s="38">
        <f t="shared" si="4"/>
        <v>8964.7900000000009</v>
      </c>
      <c r="G27" s="38">
        <v>8964.7849999999999</v>
      </c>
      <c r="H27" s="38">
        <f t="shared" si="5"/>
        <v>8964.8000000000011</v>
      </c>
      <c r="K27" s="38">
        <v>8964.7849999999999</v>
      </c>
      <c r="L27" s="38">
        <f t="shared" si="6"/>
        <v>8964.7000000000007</v>
      </c>
    </row>
    <row r="28" spans="3:12" ht="15.75" thickTop="1" x14ac:dyDescent="0.25"/>
  </sheetData>
  <mergeCells count="3">
    <mergeCell ref="C20:D20"/>
    <mergeCell ref="G20:H20"/>
    <mergeCell ref="K20:L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CHECKING</vt:lpstr>
      <vt:lpstr>Logical Formulas</vt:lpstr>
      <vt:lpstr>Misc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Soft tech Officials</dc:creator>
  <cp:keywords/>
  <dc:description/>
  <cp:lastModifiedBy>Soft tech Officials</cp:lastModifiedBy>
  <cp:revision/>
  <dcterms:created xsi:type="dcterms:W3CDTF">2026-02-18T14:17:21Z</dcterms:created>
  <dcterms:modified xsi:type="dcterms:W3CDTF">2026-02-19T14:19:41Z</dcterms:modified>
  <cp:category/>
  <cp:contentStatus/>
</cp:coreProperties>
</file>