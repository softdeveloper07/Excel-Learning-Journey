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Part_2_Formulas\"/>
    </mc:Choice>
  </mc:AlternateContent>
  <xr:revisionPtr revIDLastSave="0" documentId="13_ncr:1_{3705748A-0A81-438D-A7D2-3C3DF1749AA1}" xr6:coauthVersionLast="47" xr6:coauthVersionMax="47" xr10:uidLastSave="{00000000-0000-0000-0000-000000000000}"/>
  <bookViews>
    <workbookView xWindow="-120" yWindow="-120" windowWidth="20730" windowHeight="11040" xr2:uid="{DB5135E2-6DE4-4DAC-8E3F-E0691F1BC994}"/>
  </bookViews>
  <sheets>
    <sheet name="Text Formul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F8" i="2"/>
  <c r="C9" i="2"/>
  <c r="F9" i="2"/>
  <c r="C10" i="2"/>
  <c r="F10" i="2"/>
  <c r="C11" i="2"/>
  <c r="F11" i="2"/>
  <c r="C12" i="2"/>
  <c r="F12" i="2"/>
  <c r="C13" i="2"/>
  <c r="F13" i="2"/>
  <c r="C14" i="2"/>
  <c r="F14" i="2"/>
  <c r="C15" i="2"/>
  <c r="F15" i="2"/>
  <c r="C16" i="2"/>
  <c r="F16" i="2"/>
  <c r="C17" i="2"/>
  <c r="F17" i="2"/>
  <c r="C22" i="2"/>
  <c r="F22" i="2"/>
  <c r="C23" i="2"/>
  <c r="F23" i="2"/>
  <c r="C24" i="2"/>
  <c r="F24" i="2"/>
  <c r="C25" i="2"/>
  <c r="F25" i="2"/>
  <c r="C26" i="2"/>
  <c r="F26" i="2"/>
  <c r="C27" i="2"/>
  <c r="F27" i="2"/>
  <c r="C28" i="2"/>
  <c r="F28" i="2"/>
  <c r="C29" i="2"/>
  <c r="F29" i="2"/>
  <c r="C30" i="2"/>
  <c r="F30" i="2"/>
  <c r="C31" i="2"/>
  <c r="F31" i="2"/>
  <c r="C36" i="2"/>
  <c r="F36" i="2"/>
  <c r="C37" i="2"/>
  <c r="F37" i="2"/>
  <c r="C38" i="2"/>
  <c r="F38" i="2"/>
  <c r="C39" i="2"/>
  <c r="F39" i="2"/>
  <c r="C40" i="2"/>
  <c r="F40" i="2"/>
  <c r="C41" i="2"/>
  <c r="F41" i="2"/>
  <c r="C42" i="2"/>
  <c r="F42" i="2"/>
  <c r="C43" i="2"/>
  <c r="F43" i="2"/>
  <c r="C44" i="2"/>
  <c r="F44" i="2"/>
  <c r="C45" i="2"/>
  <c r="F45" i="2"/>
  <c r="C50" i="2"/>
  <c r="F50" i="2"/>
  <c r="C51" i="2"/>
  <c r="F51" i="2"/>
  <c r="C52" i="2"/>
  <c r="F52" i="2"/>
  <c r="C53" i="2"/>
  <c r="F53" i="2"/>
  <c r="C54" i="2"/>
  <c r="F54" i="2"/>
  <c r="C55" i="2"/>
  <c r="F55" i="2"/>
  <c r="C56" i="2"/>
  <c r="F56" i="2"/>
  <c r="C57" i="2"/>
  <c r="F57" i="2"/>
  <c r="C58" i="2"/>
  <c r="F58" i="2"/>
  <c r="C59" i="2"/>
  <c r="F59" i="2"/>
  <c r="C64" i="2"/>
  <c r="C65" i="2"/>
  <c r="C66" i="2"/>
  <c r="C67" i="2"/>
  <c r="C68" i="2"/>
  <c r="C69" i="2"/>
  <c r="C70" i="2"/>
  <c r="C71" i="2"/>
  <c r="C72" i="2"/>
  <c r="C73" i="2"/>
  <c r="C78" i="2"/>
  <c r="G78" i="2"/>
  <c r="C79" i="2"/>
  <c r="G79" i="2"/>
  <c r="C80" i="2"/>
  <c r="G80" i="2"/>
  <c r="C81" i="2"/>
  <c r="G81" i="2"/>
  <c r="C82" i="2"/>
  <c r="G82" i="2"/>
  <c r="C83" i="2"/>
  <c r="G83" i="2"/>
  <c r="C84" i="2"/>
  <c r="G84" i="2"/>
  <c r="C85" i="2"/>
  <c r="G85" i="2"/>
  <c r="C86" i="2"/>
  <c r="G86" i="2"/>
  <c r="C87" i="2"/>
  <c r="G87" i="2"/>
</calcChain>
</file>

<file path=xl/sharedStrings.xml><?xml version="1.0" encoding="utf-8"?>
<sst xmlns="http://schemas.openxmlformats.org/spreadsheetml/2006/main" count="221" uniqueCount="111">
  <si>
    <t>ho</t>
  </si>
  <si>
    <t>Manish Tripathi</t>
  </si>
  <si>
    <t>Tripathi</t>
  </si>
  <si>
    <t>Manish</t>
  </si>
  <si>
    <t>Siddharth Rao</t>
  </si>
  <si>
    <t>Rao</t>
  </si>
  <si>
    <t>Siddharth</t>
  </si>
  <si>
    <t>Kunal Saxena</t>
  </si>
  <si>
    <t>Saxena</t>
  </si>
  <si>
    <t>Kunal</t>
  </si>
  <si>
    <t>Arjun Thakur</t>
  </si>
  <si>
    <t>Thakur</t>
  </si>
  <si>
    <t>Arjun</t>
  </si>
  <si>
    <t>Suresh Reddy</t>
  </si>
  <si>
    <t>Reddy</t>
  </si>
  <si>
    <t>Suresh</t>
  </si>
  <si>
    <t>Rajat Bansal</t>
  </si>
  <si>
    <t>Bansal</t>
  </si>
  <si>
    <t>Rajat</t>
  </si>
  <si>
    <t>Vikram Malhotra</t>
  </si>
  <si>
    <t>Malhotra</t>
  </si>
  <si>
    <t>Vikram</t>
  </si>
  <si>
    <t>Aditya Mehta</t>
  </si>
  <si>
    <t>Mehta</t>
  </si>
  <si>
    <t>Aditya</t>
  </si>
  <si>
    <t>Rohan Iyer</t>
  </si>
  <si>
    <t>Iyer</t>
  </si>
  <si>
    <t>Rohan</t>
  </si>
  <si>
    <t>h</t>
  </si>
  <si>
    <t>Sharma</t>
  </si>
  <si>
    <t xml:space="preserve">Aarav </t>
  </si>
  <si>
    <t>Full Name</t>
  </si>
  <si>
    <t>Last Name</t>
  </si>
  <si>
    <t>First Name</t>
  </si>
  <si>
    <t>FlashFill (Ctrl E)</t>
  </si>
  <si>
    <t>😊</t>
  </si>
  <si>
    <t>KRM-5923-VWX</t>
  </si>
  <si>
    <t>JQP-1876-STU</t>
  </si>
  <si>
    <t>HZS-7654-JKL</t>
  </si>
  <si>
    <t>GWL-3217-GHI</t>
  </si>
  <si>
    <t>FVK-9102-DEF</t>
  </si>
  <si>
    <t>EJM-4532-ABC</t>
  </si>
  <si>
    <t>DYN-6789-PQR</t>
  </si>
  <si>
    <t>CQS-2345-XYZ</t>
  </si>
  <si>
    <t>jQP-1876-STU</t>
  </si>
  <si>
    <t>Aarav</t>
  </si>
  <si>
    <t>AXP-5678-MNO</t>
  </si>
  <si>
    <t>Change</t>
  </si>
  <si>
    <t>ID</t>
  </si>
  <si>
    <t>Text Join</t>
  </si>
  <si>
    <t>Substitute</t>
  </si>
  <si>
    <t>MR. MANISH TRIPATHI</t>
  </si>
  <si>
    <t>MR. SIDDHARTH RAO</t>
  </si>
  <si>
    <t>MR. KUNAL SAXENA</t>
  </si>
  <si>
    <t>MR. ARJUN THAKUR</t>
  </si>
  <si>
    <t>MR. SURESH REDDY</t>
  </si>
  <si>
    <t>MR. RAJAT BANSAL</t>
  </si>
  <si>
    <t>MR. VIKRAM MALHOTRA</t>
  </si>
  <si>
    <t>MR. ADITYA MEHTA</t>
  </si>
  <si>
    <t>MR. ROHAN IYER</t>
  </si>
  <si>
    <t>Aarav Sharma</t>
  </si>
  <si>
    <t>MR. AARAV SHARMA</t>
  </si>
  <si>
    <t>Sentence Case</t>
  </si>
  <si>
    <t>Names</t>
  </si>
  <si>
    <t>Proper</t>
  </si>
  <si>
    <t>Mr. Manish Tripathi</t>
  </si>
  <si>
    <t>Mr. Siddharth Rao</t>
  </si>
  <si>
    <t>Mr. Kunal Saxena</t>
  </si>
  <si>
    <t>Mr. Arjun Thakur</t>
  </si>
  <si>
    <t>Mr. Suresh Reddy</t>
  </si>
  <si>
    <t>Mr. Rajat Bansal</t>
  </si>
  <si>
    <t>Mr. Vikram Malhotra</t>
  </si>
  <si>
    <t>Mr. Aditya Mehta</t>
  </si>
  <si>
    <t>Mr. Rohan Iyer</t>
  </si>
  <si>
    <t>Mr. Aarav Sharma</t>
  </si>
  <si>
    <t>Capital Letters</t>
  </si>
  <si>
    <t>Small Letters</t>
  </si>
  <si>
    <t>Upper</t>
  </si>
  <si>
    <t>Lower</t>
  </si>
  <si>
    <t xml:space="preserve">             Mr. Manish Tripathi</t>
  </si>
  <si>
    <t>19-08-2004</t>
  </si>
  <si>
    <t>Mr. Kunal         Saxena</t>
  </si>
  <si>
    <t>25-05-1999</t>
  </si>
  <si>
    <t>Mr. Arjun          Thakur</t>
  </si>
  <si>
    <t>Mr.        Suresh Reddy</t>
  </si>
  <si>
    <t>30-07-2003</t>
  </si>
  <si>
    <t>Mr.          Rajat Bansal</t>
  </si>
  <si>
    <t>18-04-1995</t>
  </si>
  <si>
    <t>Mr.           Aditya Mehta</t>
  </si>
  <si>
    <t>23-09-1998</t>
  </si>
  <si>
    <t>Mr. Rohan         Iyer</t>
  </si>
  <si>
    <t>14-06-1996</t>
  </si>
  <si>
    <t>Mr. Aarav         Sharma</t>
  </si>
  <si>
    <t>Days</t>
  </si>
  <si>
    <t>Birth dates</t>
  </si>
  <si>
    <t>PROPER TEXT</t>
  </si>
  <si>
    <t>UNPROPER TEXT</t>
  </si>
  <si>
    <t>Text</t>
  </si>
  <si>
    <t>Trim</t>
  </si>
  <si>
    <t>DYN-679-   PQR</t>
  </si>
  <si>
    <t>CQS-235-XYZ</t>
  </si>
  <si>
    <t>BTR-8492-KLM</t>
  </si>
  <si>
    <t>LENGTH</t>
  </si>
  <si>
    <t>Suffix</t>
  </si>
  <si>
    <t xml:space="preserve">Length </t>
  </si>
  <si>
    <t>Mid</t>
  </si>
  <si>
    <t>Ms. Manisha Tripathi</t>
  </si>
  <si>
    <t>Prefix</t>
  </si>
  <si>
    <t>Right</t>
  </si>
  <si>
    <t>Left</t>
  </si>
  <si>
    <t>TEXT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</si>
</sst>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Bookman Old Style"/>
      <family val="1"/>
    </font>
    <font>
      <sz val="16"/>
      <color theme="0"/>
      <name val="Bookman Old Style"/>
      <family val="1"/>
    </font>
    <font>
      <sz val="240"/>
      <color rgb="FFFF0000"/>
      <name val="Bookman Old Style"/>
      <family val="1"/>
    </font>
    <font>
      <b/>
      <sz val="20"/>
      <color theme="0"/>
      <name val="Bookman Old Style"/>
      <family val="1"/>
    </font>
    <font>
      <b/>
      <sz val="25"/>
      <color theme="1"/>
      <name val="Bookman Old Style"/>
      <family val="1"/>
    </font>
    <font>
      <u/>
      <sz val="30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26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0"/>
      </right>
      <top style="thick">
        <color theme="1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0"/>
      </bottom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0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0"/>
      </right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 style="thick">
        <color theme="0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/>
      <top style="medium">
        <color indexed="64"/>
      </top>
      <bottom style="thick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1" xfId="0" applyNumberFormat="1" applyFont="1" applyBorder="1"/>
    <xf numFmtId="14" fontId="1" fillId="0" borderId="3" xfId="0" applyNumberFormat="1" applyFont="1" applyBorder="1"/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1" fillId="0" borderId="19" xfId="0" applyFont="1" applyBorder="1"/>
    <xf numFmtId="0" fontId="1" fillId="0" borderId="20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0" xfId="0" applyFont="1" applyBorder="1"/>
    <xf numFmtId="0" fontId="1" fillId="0" borderId="12" xfId="0" applyFont="1" applyBorder="1"/>
    <xf numFmtId="0" fontId="1" fillId="0" borderId="13" xfId="0" applyFont="1" applyBorder="1"/>
    <xf numFmtId="0" fontId="6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176E-62CF-470D-8054-7509B05CC1D1}">
  <sheetPr>
    <tabColor rgb="FF00B050"/>
  </sheetPr>
  <dimension ref="A1:I191"/>
  <sheetViews>
    <sheetView showGridLines="0" tabSelected="1" zoomScale="85" zoomScaleNormal="85" workbookViewId="0">
      <selection activeCell="G2" sqref="G2"/>
    </sheetView>
  </sheetViews>
  <sheetFormatPr defaultRowHeight="16.5" thickTop="1" thickBottom="1" x14ac:dyDescent="0.3"/>
  <cols>
    <col min="1" max="1" width="9.140625" style="1"/>
    <col min="2" max="2" width="48" style="1" bestFit="1" customWidth="1"/>
    <col min="3" max="3" width="35" style="1" bestFit="1" customWidth="1"/>
    <col min="4" max="4" width="6.42578125" style="1" customWidth="1"/>
    <col min="5" max="5" width="35" style="1" bestFit="1" customWidth="1"/>
    <col min="6" max="6" width="42.42578125" style="1" bestFit="1" customWidth="1"/>
    <col min="7" max="7" width="28.42578125" style="1" bestFit="1" customWidth="1"/>
    <col min="8" max="8" width="24.28515625" style="1" bestFit="1" customWidth="1"/>
    <col min="9" max="9" width="4" style="1" bestFit="1" customWidth="1"/>
    <col min="10" max="10" width="12.140625" style="1" bestFit="1" customWidth="1"/>
    <col min="11" max="11" width="16.140625" style="1" bestFit="1" customWidth="1"/>
    <col min="12" max="12" width="12.42578125" style="1" bestFit="1" customWidth="1"/>
    <col min="13" max="13" width="12.140625" style="1" bestFit="1" customWidth="1"/>
    <col min="14" max="16384" width="9.140625" style="1"/>
  </cols>
  <sheetData>
    <row r="1" spans="1:7" s="34" customFormat="1" ht="15" x14ac:dyDescent="0.25"/>
    <row r="2" spans="1:7" s="34" customFormat="1" ht="37.5" x14ac:dyDescent="0.5">
      <c r="B2" s="37" t="s">
        <v>110</v>
      </c>
      <c r="C2" s="37"/>
      <c r="D2" s="37"/>
      <c r="E2" s="37"/>
      <c r="F2" s="37"/>
    </row>
    <row r="3" spans="1:7" s="34" customFormat="1" ht="15" x14ac:dyDescent="0.25"/>
    <row r="4" spans="1:7" customFormat="1" ht="15" x14ac:dyDescent="0.25"/>
    <row r="5" spans="1:7" s="2" customFormat="1" ht="15.75" thickBot="1" x14ac:dyDescent="0.3">
      <c r="B5" s="25"/>
      <c r="C5" s="25"/>
      <c r="E5" s="25"/>
      <c r="F5" s="25"/>
    </row>
    <row r="6" spans="1:7" s="30" customFormat="1" ht="33" thickTop="1" thickBot="1" x14ac:dyDescent="0.5">
      <c r="A6" s="33"/>
      <c r="B6" s="22" t="s">
        <v>109</v>
      </c>
      <c r="C6" s="20"/>
      <c r="D6" s="32"/>
      <c r="E6" s="22" t="s">
        <v>108</v>
      </c>
      <c r="F6" s="20"/>
      <c r="G6" s="31"/>
    </row>
    <row r="7" spans="1:7" ht="27.75" thickTop="1" thickBot="1" x14ac:dyDescent="0.3">
      <c r="A7" s="3"/>
      <c r="B7" s="19" t="s">
        <v>63</v>
      </c>
      <c r="C7" s="17" t="s">
        <v>107</v>
      </c>
      <c r="D7" s="26"/>
      <c r="E7" s="19" t="s">
        <v>48</v>
      </c>
      <c r="F7" s="17" t="s">
        <v>103</v>
      </c>
      <c r="G7" s="4"/>
    </row>
    <row r="8" spans="1:7" ht="21.75" thickTop="1" thickBot="1" x14ac:dyDescent="0.3">
      <c r="A8" s="3"/>
      <c r="B8" s="14" t="s">
        <v>74</v>
      </c>
      <c r="C8" s="12" t="str">
        <f>LEFT(B8,3)</f>
        <v>Mr.</v>
      </c>
      <c r="D8" s="26"/>
      <c r="E8" s="14" t="s">
        <v>46</v>
      </c>
      <c r="F8" s="12" t="str">
        <f>RIGHT(E8,4)</f>
        <v>-MNO</v>
      </c>
      <c r="G8" s="4"/>
    </row>
    <row r="9" spans="1:7" ht="21.75" thickTop="1" thickBot="1" x14ac:dyDescent="0.3">
      <c r="A9" s="3"/>
      <c r="B9" s="14" t="s">
        <v>73</v>
      </c>
      <c r="C9" s="12" t="str">
        <f>LEFT(B9,3)</f>
        <v>Mr.</v>
      </c>
      <c r="D9" s="26"/>
      <c r="E9" s="14" t="s">
        <v>101</v>
      </c>
      <c r="F9" s="12" t="str">
        <f>RIGHT(E9,4)</f>
        <v>-KLM</v>
      </c>
      <c r="G9" s="4"/>
    </row>
    <row r="10" spans="1:7" ht="21.75" thickTop="1" thickBot="1" x14ac:dyDescent="0.3">
      <c r="A10" s="3"/>
      <c r="B10" s="14" t="s">
        <v>72</v>
      </c>
      <c r="C10" s="12" t="str">
        <f>LEFT(B10,3)</f>
        <v>Mr.</v>
      </c>
      <c r="D10" s="26"/>
      <c r="E10" s="14" t="s">
        <v>43</v>
      </c>
      <c r="F10" s="12" t="str">
        <f>RIGHT(E10,4)</f>
        <v>-XYZ</v>
      </c>
      <c r="G10" s="4"/>
    </row>
    <row r="11" spans="1:7" ht="21.75" thickTop="1" thickBot="1" x14ac:dyDescent="0.3">
      <c r="A11" s="3"/>
      <c r="B11" s="14" t="s">
        <v>71</v>
      </c>
      <c r="C11" s="12" t="str">
        <f>LEFT(B11,3)</f>
        <v>Mr.</v>
      </c>
      <c r="D11" s="26"/>
      <c r="E11" s="14" t="s">
        <v>42</v>
      </c>
      <c r="F11" s="12" t="str">
        <f>RIGHT(E11,4)</f>
        <v>-PQR</v>
      </c>
      <c r="G11" s="4"/>
    </row>
    <row r="12" spans="1:7" ht="21.75" thickTop="1" thickBot="1" x14ac:dyDescent="0.3">
      <c r="A12" s="3"/>
      <c r="B12" s="14" t="s">
        <v>70</v>
      </c>
      <c r="C12" s="12" t="str">
        <f>LEFT(B12,3)</f>
        <v>Mr.</v>
      </c>
      <c r="D12" s="26"/>
      <c r="E12" s="14" t="s">
        <v>41</v>
      </c>
      <c r="F12" s="12" t="str">
        <f>RIGHT(E12,4)</f>
        <v>-ABC</v>
      </c>
      <c r="G12" s="4"/>
    </row>
    <row r="13" spans="1:7" ht="21.75" thickTop="1" thickBot="1" x14ac:dyDescent="0.3">
      <c r="A13" s="3"/>
      <c r="B13" s="14" t="s">
        <v>69</v>
      </c>
      <c r="C13" s="12" t="str">
        <f>LEFT(B13,3)</f>
        <v>Mr.</v>
      </c>
      <c r="D13" s="26"/>
      <c r="E13" s="14" t="s">
        <v>40</v>
      </c>
      <c r="F13" s="12" t="str">
        <f>RIGHT(E13,4)</f>
        <v>-DEF</v>
      </c>
      <c r="G13" s="4"/>
    </row>
    <row r="14" spans="1:7" ht="21.75" thickTop="1" thickBot="1" x14ac:dyDescent="0.3">
      <c r="A14" s="3"/>
      <c r="B14" s="14" t="s">
        <v>68</v>
      </c>
      <c r="C14" s="12" t="str">
        <f>LEFT(B14,3)</f>
        <v>Mr.</v>
      </c>
      <c r="D14" s="26"/>
      <c r="E14" s="14" t="s">
        <v>39</v>
      </c>
      <c r="F14" s="12" t="str">
        <f>RIGHT(E14,4)</f>
        <v>-GHI</v>
      </c>
      <c r="G14" s="4"/>
    </row>
    <row r="15" spans="1:7" ht="21.75" thickTop="1" thickBot="1" x14ac:dyDescent="0.3">
      <c r="A15" s="3"/>
      <c r="B15" s="14" t="s">
        <v>67</v>
      </c>
      <c r="C15" s="12" t="str">
        <f>LEFT(B15,3)</f>
        <v>Mr.</v>
      </c>
      <c r="D15" s="26"/>
      <c r="E15" s="14" t="s">
        <v>38</v>
      </c>
      <c r="F15" s="12" t="str">
        <f>RIGHT(E15,4)</f>
        <v>-JKL</v>
      </c>
      <c r="G15" s="4"/>
    </row>
    <row r="16" spans="1:7" ht="21.75" thickTop="1" thickBot="1" x14ac:dyDescent="0.3">
      <c r="A16" s="3"/>
      <c r="B16" s="14" t="s">
        <v>66</v>
      </c>
      <c r="C16" s="12" t="str">
        <f>LEFT(B16,3)</f>
        <v>Mr.</v>
      </c>
      <c r="D16" s="26"/>
      <c r="E16" s="14" t="s">
        <v>37</v>
      </c>
      <c r="F16" s="12" t="str">
        <f>RIGHT(E16,4)</f>
        <v>-STU</v>
      </c>
      <c r="G16" s="4"/>
    </row>
    <row r="17" spans="1:7" ht="21.75" thickTop="1" thickBot="1" x14ac:dyDescent="0.3">
      <c r="A17" s="3"/>
      <c r="B17" s="9" t="s">
        <v>106</v>
      </c>
      <c r="C17" s="7" t="str">
        <f>LEFT(B17,3)</f>
        <v>Ms.</v>
      </c>
      <c r="D17" s="26"/>
      <c r="E17" s="9" t="s">
        <v>36</v>
      </c>
      <c r="F17" s="7" t="str">
        <f>RIGHT(E17,4)</f>
        <v>-VWX</v>
      </c>
      <c r="G17" s="4"/>
    </row>
    <row r="18" spans="1:7" customFormat="1" thickTop="1" thickBot="1" x14ac:dyDescent="0.3"/>
    <row r="19" spans="1:7" thickTop="1" thickBot="1" x14ac:dyDescent="0.3">
      <c r="B19" s="2"/>
      <c r="C19" s="2"/>
      <c r="E19" s="2"/>
      <c r="F19" s="2"/>
    </row>
    <row r="20" spans="1:7" ht="33" thickTop="1" thickBot="1" x14ac:dyDescent="0.5">
      <c r="A20" s="3"/>
      <c r="B20" s="22" t="s">
        <v>105</v>
      </c>
      <c r="C20" s="20"/>
      <c r="D20" s="26"/>
      <c r="E20" s="22" t="s">
        <v>104</v>
      </c>
      <c r="F20" s="20"/>
      <c r="G20" s="4"/>
    </row>
    <row r="21" spans="1:7" ht="27.75" thickTop="1" thickBot="1" x14ac:dyDescent="0.3">
      <c r="A21" s="3"/>
      <c r="B21" s="19" t="s">
        <v>48</v>
      </c>
      <c r="C21" s="17" t="s">
        <v>103</v>
      </c>
      <c r="D21" s="26"/>
      <c r="E21" s="19" t="s">
        <v>48</v>
      </c>
      <c r="F21" s="17" t="s">
        <v>102</v>
      </c>
      <c r="G21" s="4"/>
    </row>
    <row r="22" spans="1:7" ht="21.75" thickTop="1" thickBot="1" x14ac:dyDescent="0.3">
      <c r="A22" s="3"/>
      <c r="B22" s="14" t="s">
        <v>46</v>
      </c>
      <c r="C22" s="12" t="str">
        <f>MID(B22,5,4)</f>
        <v>5678</v>
      </c>
      <c r="D22" s="26"/>
      <c r="E22" s="14" t="s">
        <v>46</v>
      </c>
      <c r="F22" s="12">
        <f>LEN(E22)</f>
        <v>12</v>
      </c>
      <c r="G22" s="4"/>
    </row>
    <row r="23" spans="1:7" ht="21.75" thickTop="1" thickBot="1" x14ac:dyDescent="0.3">
      <c r="A23" s="3"/>
      <c r="B23" s="14" t="s">
        <v>101</v>
      </c>
      <c r="C23" s="12" t="str">
        <f>MID(B23,5,4)</f>
        <v>8492</v>
      </c>
      <c r="D23" s="26"/>
      <c r="E23" s="14" t="s">
        <v>101</v>
      </c>
      <c r="F23" s="12">
        <f>LEN(E23)</f>
        <v>12</v>
      </c>
      <c r="G23" s="4"/>
    </row>
    <row r="24" spans="1:7" ht="21.75" thickTop="1" thickBot="1" x14ac:dyDescent="0.3">
      <c r="A24" s="3"/>
      <c r="B24" s="14" t="s">
        <v>43</v>
      </c>
      <c r="C24" s="12" t="str">
        <f>MID(B24,5,4)</f>
        <v>2345</v>
      </c>
      <c r="D24" s="26"/>
      <c r="E24" s="14" t="s">
        <v>100</v>
      </c>
      <c r="F24" s="12">
        <f>LEN(E24)</f>
        <v>11</v>
      </c>
      <c r="G24" s="4"/>
    </row>
    <row r="25" spans="1:7" ht="21.75" thickTop="1" thickBot="1" x14ac:dyDescent="0.3">
      <c r="A25" s="3"/>
      <c r="B25" s="14" t="s">
        <v>42</v>
      </c>
      <c r="C25" s="12" t="str">
        <f>MID(B25,5,4)</f>
        <v>6789</v>
      </c>
      <c r="D25" s="26"/>
      <c r="E25" s="14" t="s">
        <v>99</v>
      </c>
      <c r="F25" s="12">
        <f>LEN(E25)</f>
        <v>14</v>
      </c>
      <c r="G25" s="4"/>
    </row>
    <row r="26" spans="1:7" ht="21.75" thickTop="1" thickBot="1" x14ac:dyDescent="0.3">
      <c r="A26" s="3"/>
      <c r="B26" s="14" t="s">
        <v>41</v>
      </c>
      <c r="C26" s="12" t="str">
        <f>MID(B26,5,4)</f>
        <v>4532</v>
      </c>
      <c r="D26" s="26"/>
      <c r="E26" s="14" t="s">
        <v>41</v>
      </c>
      <c r="F26" s="12">
        <f>LEN(E26)</f>
        <v>12</v>
      </c>
      <c r="G26" s="4"/>
    </row>
    <row r="27" spans="1:7" ht="21.75" thickTop="1" thickBot="1" x14ac:dyDescent="0.3">
      <c r="A27" s="3"/>
      <c r="B27" s="14" t="s">
        <v>40</v>
      </c>
      <c r="C27" s="12" t="str">
        <f>MID(B27,5,4)</f>
        <v>9102</v>
      </c>
      <c r="D27" s="26"/>
      <c r="E27" s="14" t="s">
        <v>40</v>
      </c>
      <c r="F27" s="12">
        <f>LEN(E27)</f>
        <v>12</v>
      </c>
      <c r="G27" s="4"/>
    </row>
    <row r="28" spans="1:7" ht="21.75" thickTop="1" thickBot="1" x14ac:dyDescent="0.3">
      <c r="A28" s="3"/>
      <c r="B28" s="14" t="s">
        <v>39</v>
      </c>
      <c r="C28" s="12" t="str">
        <f>MID(B28,5,4)</f>
        <v>3217</v>
      </c>
      <c r="D28" s="26"/>
      <c r="E28" s="14" t="s">
        <v>39</v>
      </c>
      <c r="F28" s="12">
        <f>LEN(E28)</f>
        <v>12</v>
      </c>
      <c r="G28" s="4"/>
    </row>
    <row r="29" spans="1:7" ht="21.75" thickTop="1" thickBot="1" x14ac:dyDescent="0.3">
      <c r="A29" s="3"/>
      <c r="B29" s="14" t="s">
        <v>38</v>
      </c>
      <c r="C29" s="12" t="str">
        <f>MID(B29,5,4)</f>
        <v>7654</v>
      </c>
      <c r="D29" s="26"/>
      <c r="E29" s="14" t="s">
        <v>38</v>
      </c>
      <c r="F29" s="12">
        <f>LEN(E29)</f>
        <v>12</v>
      </c>
      <c r="G29" s="4"/>
    </row>
    <row r="30" spans="1:7" ht="21.75" thickTop="1" thickBot="1" x14ac:dyDescent="0.3">
      <c r="A30" s="3"/>
      <c r="B30" s="14" t="s">
        <v>37</v>
      </c>
      <c r="C30" s="12" t="str">
        <f>MID(B30,5,4)</f>
        <v>1876</v>
      </c>
      <c r="D30" s="26"/>
      <c r="E30" s="14" t="s">
        <v>37</v>
      </c>
      <c r="F30" s="12">
        <f>LEN(E30)</f>
        <v>12</v>
      </c>
      <c r="G30" s="4"/>
    </row>
    <row r="31" spans="1:7" ht="21.75" thickTop="1" thickBot="1" x14ac:dyDescent="0.3">
      <c r="A31" s="3"/>
      <c r="B31" s="9" t="s">
        <v>36</v>
      </c>
      <c r="C31" s="7" t="str">
        <f>MID(B31,5,4)</f>
        <v>5923</v>
      </c>
      <c r="D31" s="26"/>
      <c r="E31" s="9" t="s">
        <v>36</v>
      </c>
      <c r="F31" s="7">
        <f>LEN(E31)</f>
        <v>12</v>
      </c>
      <c r="G31" s="4"/>
    </row>
    <row r="32" spans="1:7" customFormat="1" thickTop="1" thickBot="1" x14ac:dyDescent="0.3"/>
    <row r="33" spans="1:7" thickTop="1" thickBot="1" x14ac:dyDescent="0.3">
      <c r="B33" s="29"/>
      <c r="C33" s="29"/>
      <c r="E33" s="29"/>
      <c r="F33" s="29"/>
    </row>
    <row r="34" spans="1:7" ht="33" thickTop="1" thickBot="1" x14ac:dyDescent="0.5">
      <c r="A34" s="3"/>
      <c r="B34" s="22" t="s">
        <v>98</v>
      </c>
      <c r="C34" s="20"/>
      <c r="D34" s="26"/>
      <c r="E34" s="22" t="s">
        <v>97</v>
      </c>
      <c r="F34" s="20"/>
      <c r="G34" s="4"/>
    </row>
    <row r="35" spans="1:7" ht="27.75" thickTop="1" thickBot="1" x14ac:dyDescent="0.3">
      <c r="A35" s="3"/>
      <c r="B35" s="19" t="s">
        <v>96</v>
      </c>
      <c r="C35" s="17" t="s">
        <v>95</v>
      </c>
      <c r="D35" s="26"/>
      <c r="E35" s="19" t="s">
        <v>94</v>
      </c>
      <c r="F35" s="17" t="s">
        <v>93</v>
      </c>
      <c r="G35" s="4"/>
    </row>
    <row r="36" spans="1:7" ht="21.75" thickTop="1" thickBot="1" x14ac:dyDescent="0.3">
      <c r="A36" s="3"/>
      <c r="B36" s="14" t="s">
        <v>92</v>
      </c>
      <c r="C36" s="12" t="str">
        <f>TRIM(B36)</f>
        <v>Mr. Aarav Sharma</v>
      </c>
      <c r="D36" s="26"/>
      <c r="E36" s="14" t="s">
        <v>91</v>
      </c>
      <c r="F36" s="12" t="str">
        <f>TEXT(E36,"dddd")</f>
        <v>Friday</v>
      </c>
      <c r="G36" s="4"/>
    </row>
    <row r="37" spans="1:7" ht="21.75" thickTop="1" thickBot="1" x14ac:dyDescent="0.3">
      <c r="A37" s="3"/>
      <c r="B37" s="14" t="s">
        <v>90</v>
      </c>
      <c r="C37" s="12" t="str">
        <f>TRIM(B37)</f>
        <v>Mr. Rohan Iyer</v>
      </c>
      <c r="D37" s="26"/>
      <c r="E37" s="14" t="s">
        <v>89</v>
      </c>
      <c r="F37" s="12" t="str">
        <f>TEXT(E37,"dddd")</f>
        <v>Wednesday</v>
      </c>
      <c r="G37" s="4"/>
    </row>
    <row r="38" spans="1:7" ht="21.75" thickTop="1" thickBot="1" x14ac:dyDescent="0.3">
      <c r="A38" s="3"/>
      <c r="B38" s="14" t="s">
        <v>88</v>
      </c>
      <c r="C38" s="12" t="str">
        <f>TRIM(B38)</f>
        <v>Mr. Aditya Mehta</v>
      </c>
      <c r="D38" s="26"/>
      <c r="E38" s="14">
        <v>37084</v>
      </c>
      <c r="F38" s="12" t="str">
        <f>TEXT(E38,"dddd")</f>
        <v>Thursday</v>
      </c>
      <c r="G38" s="4"/>
    </row>
    <row r="39" spans="1:7" ht="21.75" thickTop="1" thickBot="1" x14ac:dyDescent="0.3">
      <c r="A39" s="3"/>
      <c r="B39" s="14" t="s">
        <v>71</v>
      </c>
      <c r="C39" s="12" t="str">
        <f>TRIM(B39)</f>
        <v>Mr. Vikram Malhotra</v>
      </c>
      <c r="D39" s="26"/>
      <c r="E39" s="14" t="s">
        <v>87</v>
      </c>
      <c r="F39" s="12" t="str">
        <f>TEXT(E39,"dddd")</f>
        <v>Tuesday</v>
      </c>
      <c r="G39" s="4"/>
    </row>
    <row r="40" spans="1:7" ht="21.75" thickTop="1" thickBot="1" x14ac:dyDescent="0.3">
      <c r="A40" s="3"/>
      <c r="B40" s="14" t="s">
        <v>86</v>
      </c>
      <c r="C40" s="12" t="str">
        <f>TRIM(B40)</f>
        <v>Mr. Rajat Bansal</v>
      </c>
      <c r="D40" s="26"/>
      <c r="E40" s="14" t="s">
        <v>85</v>
      </c>
      <c r="F40" s="12" t="str">
        <f>TEXT(E40,"dddd")</f>
        <v>Wednesday</v>
      </c>
      <c r="G40" s="4"/>
    </row>
    <row r="41" spans="1:7" ht="21.75" thickTop="1" thickBot="1" x14ac:dyDescent="0.3">
      <c r="A41" s="3"/>
      <c r="B41" s="14" t="s">
        <v>84</v>
      </c>
      <c r="C41" s="12" t="str">
        <f>TRIM(B41)</f>
        <v>Mr. Suresh Reddy</v>
      </c>
      <c r="D41" s="26"/>
      <c r="E41" s="14">
        <v>36841</v>
      </c>
      <c r="F41" s="12" t="str">
        <f>TEXT(E41,"dddd")</f>
        <v>Saturday</v>
      </c>
      <c r="G41" s="4"/>
    </row>
    <row r="42" spans="1:7" ht="21.75" thickTop="1" thickBot="1" x14ac:dyDescent="0.3">
      <c r="A42" s="3"/>
      <c r="B42" s="14" t="s">
        <v>83</v>
      </c>
      <c r="C42" s="12" t="str">
        <f>TRIM(B42)</f>
        <v>Mr. Arjun Thakur</v>
      </c>
      <c r="D42" s="26"/>
      <c r="E42" s="14" t="s">
        <v>82</v>
      </c>
      <c r="F42" s="12" t="str">
        <f>TEXT(E42,"dddd")</f>
        <v>Tuesday</v>
      </c>
      <c r="G42" s="4"/>
    </row>
    <row r="43" spans="1:7" ht="21.75" thickTop="1" thickBot="1" x14ac:dyDescent="0.3">
      <c r="A43" s="3"/>
      <c r="B43" s="14" t="s">
        <v>81</v>
      </c>
      <c r="C43" s="12" t="str">
        <f>TRIM(B43)</f>
        <v>Mr. Kunal Saxena</v>
      </c>
      <c r="D43" s="26"/>
      <c r="E43" s="14">
        <v>35491</v>
      </c>
      <c r="F43" s="12" t="str">
        <f>TEXT(E43,"dddd")</f>
        <v>Sunday</v>
      </c>
      <c r="G43" s="4"/>
    </row>
    <row r="44" spans="1:7" ht="21.75" thickTop="1" thickBot="1" x14ac:dyDescent="0.3">
      <c r="A44" s="3"/>
      <c r="B44" s="14" t="s">
        <v>66</v>
      </c>
      <c r="C44" s="12" t="str">
        <f>TRIM(B44)</f>
        <v>Mr. Siddharth Rao</v>
      </c>
      <c r="D44" s="26"/>
      <c r="E44" s="14" t="s">
        <v>80</v>
      </c>
      <c r="F44" s="12" t="str">
        <f>TEXT(E44,"dddd")</f>
        <v>Thursday</v>
      </c>
      <c r="G44" s="4"/>
    </row>
    <row r="45" spans="1:7" ht="21.75" thickTop="1" thickBot="1" x14ac:dyDescent="0.3">
      <c r="A45" s="3"/>
      <c r="B45" s="9" t="s">
        <v>79</v>
      </c>
      <c r="C45" s="7" t="str">
        <f>TRIM(B45)</f>
        <v>Mr. Manish Tripathi</v>
      </c>
      <c r="D45" s="26"/>
      <c r="E45" s="9">
        <v>37478</v>
      </c>
      <c r="F45" s="7" t="str">
        <f>TEXT(E45,"dddd")</f>
        <v>Saturday</v>
      </c>
      <c r="G45" s="4"/>
    </row>
    <row r="46" spans="1:7" customFormat="1" thickTop="1" thickBot="1" x14ac:dyDescent="0.3"/>
    <row r="47" spans="1:7" thickTop="1" thickBot="1" x14ac:dyDescent="0.3">
      <c r="B47" s="25"/>
      <c r="C47" s="25"/>
      <c r="E47" s="25"/>
      <c r="F47" s="25"/>
    </row>
    <row r="48" spans="1:7" ht="33" thickTop="1" thickBot="1" x14ac:dyDescent="0.5">
      <c r="A48" s="3"/>
      <c r="B48" s="22" t="s">
        <v>78</v>
      </c>
      <c r="C48" s="20"/>
      <c r="D48" s="26"/>
      <c r="E48" s="22" t="s">
        <v>77</v>
      </c>
      <c r="F48" s="20"/>
      <c r="G48" s="4"/>
    </row>
    <row r="49" spans="1:8" ht="27.75" thickTop="1" thickBot="1" x14ac:dyDescent="0.3">
      <c r="A49" s="3"/>
      <c r="B49" s="19" t="s">
        <v>63</v>
      </c>
      <c r="C49" s="17" t="s">
        <v>76</v>
      </c>
      <c r="D49" s="26"/>
      <c r="E49" s="19" t="s">
        <v>63</v>
      </c>
      <c r="F49" s="17" t="s">
        <v>75</v>
      </c>
      <c r="G49" s="4"/>
    </row>
    <row r="50" spans="1:8" ht="21.75" thickTop="1" thickBot="1" x14ac:dyDescent="0.3">
      <c r="A50" s="3"/>
      <c r="B50" s="14" t="s">
        <v>74</v>
      </c>
      <c r="C50" s="12" t="str">
        <f>LOWER(B50)</f>
        <v>mr. aarav sharma</v>
      </c>
      <c r="D50" s="26"/>
      <c r="E50" s="14" t="s">
        <v>74</v>
      </c>
      <c r="F50" s="12" t="str">
        <f>UPPER(E50)</f>
        <v>MR. AARAV SHARMA</v>
      </c>
      <c r="G50" s="4"/>
    </row>
    <row r="51" spans="1:8" ht="21.75" thickTop="1" thickBot="1" x14ac:dyDescent="0.3">
      <c r="A51" s="3"/>
      <c r="B51" s="14" t="s">
        <v>73</v>
      </c>
      <c r="C51" s="12" t="str">
        <f>LOWER(B51)</f>
        <v>mr. rohan iyer</v>
      </c>
      <c r="D51" s="26"/>
      <c r="E51" s="14" t="s">
        <v>73</v>
      </c>
      <c r="F51" s="12" t="str">
        <f>UPPER(E51)</f>
        <v>MR. ROHAN IYER</v>
      </c>
      <c r="G51" s="4"/>
    </row>
    <row r="52" spans="1:8" ht="21.75" thickTop="1" thickBot="1" x14ac:dyDescent="0.3">
      <c r="A52" s="3"/>
      <c r="B52" s="14" t="s">
        <v>72</v>
      </c>
      <c r="C52" s="12" t="str">
        <f>LOWER(B52)</f>
        <v>mr. aditya mehta</v>
      </c>
      <c r="D52" s="26"/>
      <c r="E52" s="14" t="s">
        <v>72</v>
      </c>
      <c r="F52" s="12" t="str">
        <f>UPPER(E52)</f>
        <v>MR. ADITYA MEHTA</v>
      </c>
      <c r="G52" s="4"/>
    </row>
    <row r="53" spans="1:8" ht="21.75" thickTop="1" thickBot="1" x14ac:dyDescent="0.3">
      <c r="A53" s="3"/>
      <c r="B53" s="14" t="s">
        <v>71</v>
      </c>
      <c r="C53" s="12" t="str">
        <f>LOWER(B53)</f>
        <v>mr. vikram malhotra</v>
      </c>
      <c r="D53" s="26"/>
      <c r="E53" s="14" t="s">
        <v>71</v>
      </c>
      <c r="F53" s="12" t="str">
        <f>UPPER(E53)</f>
        <v>MR. VIKRAM MALHOTRA</v>
      </c>
      <c r="G53" s="4"/>
    </row>
    <row r="54" spans="1:8" ht="21.75" thickTop="1" thickBot="1" x14ac:dyDescent="0.3">
      <c r="A54" s="3"/>
      <c r="B54" s="14" t="s">
        <v>70</v>
      </c>
      <c r="C54" s="12" t="str">
        <f>LOWER(B54)</f>
        <v>mr. rajat bansal</v>
      </c>
      <c r="D54" s="26"/>
      <c r="E54" s="14" t="s">
        <v>70</v>
      </c>
      <c r="F54" s="12" t="str">
        <f>UPPER(E54)</f>
        <v>MR. RAJAT BANSAL</v>
      </c>
      <c r="G54" s="4"/>
    </row>
    <row r="55" spans="1:8" ht="21.75" thickTop="1" thickBot="1" x14ac:dyDescent="0.3">
      <c r="A55" s="3"/>
      <c r="B55" s="14" t="s">
        <v>69</v>
      </c>
      <c r="C55" s="12" t="str">
        <f>LOWER(B55)</f>
        <v>mr. suresh reddy</v>
      </c>
      <c r="D55" s="26"/>
      <c r="E55" s="14" t="s">
        <v>69</v>
      </c>
      <c r="F55" s="12" t="str">
        <f>UPPER(E55)</f>
        <v>MR. SURESH REDDY</v>
      </c>
      <c r="G55" s="4"/>
    </row>
    <row r="56" spans="1:8" ht="21.75" thickTop="1" thickBot="1" x14ac:dyDescent="0.3">
      <c r="A56" s="3"/>
      <c r="B56" s="14" t="s">
        <v>68</v>
      </c>
      <c r="C56" s="12" t="str">
        <f>LOWER(B56)</f>
        <v>mr. arjun thakur</v>
      </c>
      <c r="D56" s="26"/>
      <c r="E56" s="14" t="s">
        <v>68</v>
      </c>
      <c r="F56" s="12" t="str">
        <f>UPPER(E56)</f>
        <v>MR. ARJUN THAKUR</v>
      </c>
      <c r="G56" s="4"/>
    </row>
    <row r="57" spans="1:8" ht="21.75" thickTop="1" thickBot="1" x14ac:dyDescent="0.3">
      <c r="A57" s="3"/>
      <c r="B57" s="14" t="s">
        <v>67</v>
      </c>
      <c r="C57" s="12" t="str">
        <f>LOWER(B57)</f>
        <v>mr. kunal saxena</v>
      </c>
      <c r="D57" s="26"/>
      <c r="E57" s="14" t="s">
        <v>67</v>
      </c>
      <c r="F57" s="12" t="str">
        <f>UPPER(E57)</f>
        <v>MR. KUNAL SAXENA</v>
      </c>
      <c r="G57" s="4"/>
    </row>
    <row r="58" spans="1:8" ht="21.75" thickTop="1" thickBot="1" x14ac:dyDescent="0.3">
      <c r="A58" s="3"/>
      <c r="B58" s="14" t="s">
        <v>66</v>
      </c>
      <c r="C58" s="12" t="str">
        <f>LOWER(B58)</f>
        <v>mr. siddharth rao</v>
      </c>
      <c r="D58" s="26"/>
      <c r="E58" s="14" t="s">
        <v>66</v>
      </c>
      <c r="F58" s="12" t="str">
        <f>UPPER(E58)</f>
        <v>MR. SIDDHARTH RAO</v>
      </c>
      <c r="G58" s="4"/>
    </row>
    <row r="59" spans="1:8" ht="21.75" thickTop="1" thickBot="1" x14ac:dyDescent="0.3">
      <c r="A59" s="3"/>
      <c r="B59" s="9" t="s">
        <v>65</v>
      </c>
      <c r="C59" s="7" t="str">
        <f>LOWER(B59)</f>
        <v>mr. manish tripathi</v>
      </c>
      <c r="D59" s="26"/>
      <c r="E59" s="9" t="s">
        <v>65</v>
      </c>
      <c r="F59" s="7" t="str">
        <f>UPPER(E59)</f>
        <v>MR. MANISH TRIPATHI</v>
      </c>
      <c r="G59" s="4"/>
    </row>
    <row r="60" spans="1:8" thickTop="1" thickBot="1" x14ac:dyDescent="0.3">
      <c r="B60" s="25"/>
      <c r="C60" s="25"/>
      <c r="E60" s="25"/>
      <c r="F60" s="25"/>
      <c r="G60" s="29"/>
    </row>
    <row r="61" spans="1:8" thickTop="1" thickBot="1" x14ac:dyDescent="0.3">
      <c r="A61" s="3"/>
      <c r="B61" s="35"/>
      <c r="C61" s="36"/>
      <c r="D61" s="26"/>
      <c r="E61" s="35"/>
      <c r="F61" s="25"/>
      <c r="G61" s="36"/>
      <c r="H61" s="4"/>
    </row>
    <row r="62" spans="1:8" ht="33" thickTop="1" thickBot="1" x14ac:dyDescent="0.5">
      <c r="A62" s="3"/>
      <c r="B62" s="22" t="s">
        <v>64</v>
      </c>
      <c r="C62" s="20"/>
      <c r="D62" s="26"/>
      <c r="E62" s="22" t="s">
        <v>34</v>
      </c>
      <c r="F62" s="21"/>
      <c r="G62" s="20"/>
      <c r="H62" s="4"/>
    </row>
    <row r="63" spans="1:8" ht="27.75" thickTop="1" thickBot="1" x14ac:dyDescent="0.3">
      <c r="A63" s="3"/>
      <c r="B63" s="19" t="s">
        <v>63</v>
      </c>
      <c r="C63" s="17" t="s">
        <v>62</v>
      </c>
      <c r="D63" s="26"/>
      <c r="E63" s="19" t="s">
        <v>31</v>
      </c>
      <c r="F63" s="18" t="s">
        <v>33</v>
      </c>
      <c r="G63" s="17" t="s">
        <v>32</v>
      </c>
      <c r="H63" s="4"/>
    </row>
    <row r="64" spans="1:8" ht="21.75" thickTop="1" thickBot="1" x14ac:dyDescent="0.3">
      <c r="A64" s="3"/>
      <c r="B64" s="14" t="s">
        <v>61</v>
      </c>
      <c r="C64" s="12" t="str">
        <f>PROPER(B64)</f>
        <v>Mr. Aarav Sharma</v>
      </c>
      <c r="D64" s="26"/>
      <c r="E64" s="14" t="s">
        <v>60</v>
      </c>
      <c r="F64" s="28" t="s">
        <v>45</v>
      </c>
      <c r="G64" s="12" t="s">
        <v>29</v>
      </c>
      <c r="H64" s="4"/>
    </row>
    <row r="65" spans="1:8" ht="21.75" thickTop="1" thickBot="1" x14ac:dyDescent="0.3">
      <c r="A65" s="3"/>
      <c r="B65" s="14" t="s">
        <v>59</v>
      </c>
      <c r="C65" s="12" t="str">
        <f>PROPER(B65)</f>
        <v>Mr. Rohan Iyer</v>
      </c>
      <c r="D65" s="26"/>
      <c r="E65" s="14" t="s">
        <v>25</v>
      </c>
      <c r="F65" s="28" t="s">
        <v>27</v>
      </c>
      <c r="G65" s="12" t="s">
        <v>26</v>
      </c>
      <c r="H65" s="4"/>
    </row>
    <row r="66" spans="1:8" ht="21.75" thickTop="1" thickBot="1" x14ac:dyDescent="0.3">
      <c r="A66" s="3"/>
      <c r="B66" s="14" t="s">
        <v>58</v>
      </c>
      <c r="C66" s="12" t="str">
        <f>PROPER(B66)</f>
        <v>Mr. Aditya Mehta</v>
      </c>
      <c r="D66" s="26"/>
      <c r="E66" s="14" t="s">
        <v>22</v>
      </c>
      <c r="F66" s="28" t="s">
        <v>24</v>
      </c>
      <c r="G66" s="12" t="s">
        <v>23</v>
      </c>
      <c r="H66" s="4"/>
    </row>
    <row r="67" spans="1:8" ht="21.75" thickTop="1" thickBot="1" x14ac:dyDescent="0.3">
      <c r="A67" s="3"/>
      <c r="B67" s="14" t="s">
        <v>57</v>
      </c>
      <c r="C67" s="12" t="str">
        <f>PROPER(B67)</f>
        <v>Mr. Vikram Malhotra</v>
      </c>
      <c r="D67" s="26"/>
      <c r="E67" s="14" t="s">
        <v>19</v>
      </c>
      <c r="F67" s="28" t="s">
        <v>21</v>
      </c>
      <c r="G67" s="12" t="s">
        <v>20</v>
      </c>
      <c r="H67" s="4"/>
    </row>
    <row r="68" spans="1:8" ht="21.75" thickTop="1" thickBot="1" x14ac:dyDescent="0.3">
      <c r="A68" s="3"/>
      <c r="B68" s="14" t="s">
        <v>56</v>
      </c>
      <c r="C68" s="12" t="str">
        <f>PROPER(B68)</f>
        <v>Mr. Rajat Bansal</v>
      </c>
      <c r="D68" s="26"/>
      <c r="E68" s="14" t="s">
        <v>16</v>
      </c>
      <c r="F68" s="28" t="s">
        <v>18</v>
      </c>
      <c r="G68" s="12" t="s">
        <v>17</v>
      </c>
      <c r="H68" s="4"/>
    </row>
    <row r="69" spans="1:8" ht="21.75" thickTop="1" thickBot="1" x14ac:dyDescent="0.3">
      <c r="A69" s="3"/>
      <c r="B69" s="14" t="s">
        <v>55</v>
      </c>
      <c r="C69" s="12" t="str">
        <f>PROPER(B69)</f>
        <v>Mr. Suresh Reddy</v>
      </c>
      <c r="D69" s="26"/>
      <c r="E69" s="14" t="s">
        <v>13</v>
      </c>
      <c r="F69" s="28" t="s">
        <v>15</v>
      </c>
      <c r="G69" s="12" t="s">
        <v>14</v>
      </c>
      <c r="H69" s="4"/>
    </row>
    <row r="70" spans="1:8" ht="21.75" thickTop="1" thickBot="1" x14ac:dyDescent="0.3">
      <c r="A70" s="3"/>
      <c r="B70" s="14" t="s">
        <v>54</v>
      </c>
      <c r="C70" s="12" t="str">
        <f>PROPER(B70)</f>
        <v>Mr. Arjun Thakur</v>
      </c>
      <c r="D70" s="26"/>
      <c r="E70" s="14" t="s">
        <v>10</v>
      </c>
      <c r="F70" s="28" t="s">
        <v>12</v>
      </c>
      <c r="G70" s="12" t="s">
        <v>11</v>
      </c>
      <c r="H70" s="4"/>
    </row>
    <row r="71" spans="1:8" ht="21.75" thickTop="1" thickBot="1" x14ac:dyDescent="0.3">
      <c r="A71" s="3"/>
      <c r="B71" s="14" t="s">
        <v>53</v>
      </c>
      <c r="C71" s="12" t="str">
        <f>PROPER(B71)</f>
        <v>Mr. Kunal Saxena</v>
      </c>
      <c r="D71" s="26"/>
      <c r="E71" s="14" t="s">
        <v>7</v>
      </c>
      <c r="F71" s="28" t="s">
        <v>9</v>
      </c>
      <c r="G71" s="12" t="s">
        <v>8</v>
      </c>
      <c r="H71" s="4"/>
    </row>
    <row r="72" spans="1:8" ht="21.75" thickTop="1" thickBot="1" x14ac:dyDescent="0.3">
      <c r="A72" s="3"/>
      <c r="B72" s="14" t="s">
        <v>52</v>
      </c>
      <c r="C72" s="12" t="str">
        <f>PROPER(B72)</f>
        <v>Mr. Siddharth Rao</v>
      </c>
      <c r="D72" s="26"/>
      <c r="E72" s="14" t="s">
        <v>4</v>
      </c>
      <c r="F72" s="28" t="s">
        <v>6</v>
      </c>
      <c r="G72" s="12" t="s">
        <v>5</v>
      </c>
      <c r="H72" s="4"/>
    </row>
    <row r="73" spans="1:8" ht="21.75" thickTop="1" thickBot="1" x14ac:dyDescent="0.3">
      <c r="A73" s="3"/>
      <c r="B73" s="9" t="s">
        <v>51</v>
      </c>
      <c r="C73" s="7" t="str">
        <f>PROPER(B73)</f>
        <v>Mr. Manish Tripathi</v>
      </c>
      <c r="D73" s="26"/>
      <c r="E73" s="9" t="s">
        <v>1</v>
      </c>
      <c r="F73" s="27" t="s">
        <v>3</v>
      </c>
      <c r="G73" s="7" t="s">
        <v>2</v>
      </c>
      <c r="H73" s="4"/>
    </row>
    <row r="74" spans="1:8" thickTop="1" thickBot="1" x14ac:dyDescent="0.3">
      <c r="B74" s="25"/>
      <c r="C74" s="25"/>
      <c r="E74" s="25"/>
      <c r="F74" s="25"/>
      <c r="G74" s="25"/>
    </row>
    <row r="75" spans="1:8" thickTop="1" thickBot="1" x14ac:dyDescent="0.3">
      <c r="A75" s="3"/>
      <c r="B75" s="35"/>
      <c r="C75" s="36"/>
      <c r="D75" s="26"/>
      <c r="E75" s="35"/>
      <c r="F75" s="25"/>
      <c r="G75" s="36"/>
      <c r="H75" s="4"/>
    </row>
    <row r="76" spans="1:8" ht="33" thickTop="1" thickBot="1" x14ac:dyDescent="0.5">
      <c r="A76" s="3"/>
      <c r="B76" s="22" t="s">
        <v>50</v>
      </c>
      <c r="C76" s="20"/>
      <c r="D76" s="26"/>
      <c r="E76" s="22" t="s">
        <v>49</v>
      </c>
      <c r="F76" s="21"/>
      <c r="G76" s="20"/>
      <c r="H76" s="4"/>
    </row>
    <row r="77" spans="1:8" ht="27.75" thickTop="1" thickBot="1" x14ac:dyDescent="0.3">
      <c r="A77" s="3"/>
      <c r="B77" s="19" t="s">
        <v>48</v>
      </c>
      <c r="C77" s="17" t="s">
        <v>47</v>
      </c>
      <c r="D77" s="26"/>
      <c r="E77" s="19" t="s">
        <v>33</v>
      </c>
      <c r="F77" s="18" t="s">
        <v>32</v>
      </c>
      <c r="G77" s="17" t="s">
        <v>31</v>
      </c>
      <c r="H77" s="4"/>
    </row>
    <row r="78" spans="1:8" ht="21.75" thickTop="1" thickBot="1" x14ac:dyDescent="0.3">
      <c r="A78" s="3"/>
      <c r="B78" s="14" t="s">
        <v>46</v>
      </c>
      <c r="C78" s="12" t="str">
        <f>SUBSTITUTE(B78,5678,123)</f>
        <v>AXP-123-MNO</v>
      </c>
      <c r="D78" s="26"/>
      <c r="E78" s="14" t="s">
        <v>45</v>
      </c>
      <c r="F78" s="13" t="s">
        <v>29</v>
      </c>
      <c r="G78" s="12" t="str">
        <f>_xlfn.TEXTJOIN(" ",TRUE,E78,F78)</f>
        <v>Aarav Sharma</v>
      </c>
      <c r="H78" s="4"/>
    </row>
    <row r="79" spans="1:8" ht="21.75" thickTop="1" thickBot="1" x14ac:dyDescent="0.3">
      <c r="A79" s="3"/>
      <c r="B79" s="14" t="s">
        <v>44</v>
      </c>
      <c r="C79" s="12" t="str">
        <f>SUBSTITUTE(B79,8492,"")</f>
        <v>jQP-1876-STU</v>
      </c>
      <c r="D79" s="26"/>
      <c r="E79" s="14" t="s">
        <v>27</v>
      </c>
      <c r="F79" s="13" t="s">
        <v>26</v>
      </c>
      <c r="G79" s="12" t="str">
        <f>_xlfn.TEXTJOIN(" ",TRUE,E79,F79)</f>
        <v>Rohan Iyer</v>
      </c>
      <c r="H79" s="4"/>
    </row>
    <row r="80" spans="1:8" ht="21.75" thickTop="1" thickBot="1" x14ac:dyDescent="0.3">
      <c r="A80" s="3"/>
      <c r="B80" s="14" t="s">
        <v>43</v>
      </c>
      <c r="C80" s="12" t="str">
        <f>SUBSTITUTE(B80,2345,"JATT")</f>
        <v>CQS-JATT-XYZ</v>
      </c>
      <c r="D80" s="26"/>
      <c r="E80" s="14" t="s">
        <v>24</v>
      </c>
      <c r="F80" s="13" t="s">
        <v>23</v>
      </c>
      <c r="G80" s="12" t="str">
        <f>_xlfn.TEXTJOIN(" ",TRUE,E80,F80)</f>
        <v>Aditya Mehta</v>
      </c>
      <c r="H80" s="4"/>
    </row>
    <row r="81" spans="1:8" ht="21.75" thickTop="1" thickBot="1" x14ac:dyDescent="0.3">
      <c r="A81" s="3"/>
      <c r="B81" s="14" t="s">
        <v>42</v>
      </c>
      <c r="C81" s="12" t="str">
        <f>SUBSTITUTE(B81,"PQR","Abc")</f>
        <v>DYN-6789-Abc</v>
      </c>
      <c r="D81" s="26"/>
      <c r="E81" s="14" t="s">
        <v>21</v>
      </c>
      <c r="F81" s="13" t="s">
        <v>20</v>
      </c>
      <c r="G81" s="12" t="str">
        <f>_xlfn.TEXTJOIN(" ",TRUE,E81,F81)</f>
        <v>Vikram Malhotra</v>
      </c>
      <c r="H81" s="4"/>
    </row>
    <row r="82" spans="1:8" ht="21.75" thickTop="1" thickBot="1" x14ac:dyDescent="0.3">
      <c r="A82" s="3"/>
      <c r="B82" s="14" t="s">
        <v>41</v>
      </c>
      <c r="C82" s="12" t="str">
        <f>SUBSTITUTE(B82,"ABC","MANJEET")</f>
        <v>EJM-4532-MANJEET</v>
      </c>
      <c r="D82" s="26"/>
      <c r="E82" s="14" t="s">
        <v>18</v>
      </c>
      <c r="F82" s="13" t="s">
        <v>17</v>
      </c>
      <c r="G82" s="12" t="str">
        <f>_xlfn.TEXTJOIN(" ",TRUE,E82,F82)</f>
        <v>Rajat Bansal</v>
      </c>
      <c r="H82" s="4"/>
    </row>
    <row r="83" spans="1:8" ht="21.75" thickTop="1" thickBot="1" x14ac:dyDescent="0.3">
      <c r="A83" s="3"/>
      <c r="B83" s="14" t="s">
        <v>40</v>
      </c>
      <c r="C83" s="12" t="str">
        <f>SUBSTITUTE(B83,9102,764)</f>
        <v>FVK-764-DEF</v>
      </c>
      <c r="D83" s="26"/>
      <c r="E83" s="14" t="s">
        <v>15</v>
      </c>
      <c r="F83" s="13" t="s">
        <v>14</v>
      </c>
      <c r="G83" s="12" t="str">
        <f>_xlfn.TEXTJOIN(" ",TRUE,E83,F83)</f>
        <v>Suresh Reddy</v>
      </c>
      <c r="H83" s="4"/>
    </row>
    <row r="84" spans="1:8" ht="21.75" thickTop="1" thickBot="1" x14ac:dyDescent="0.3">
      <c r="A84" s="3"/>
      <c r="B84" s="14" t="s">
        <v>39</v>
      </c>
      <c r="C84" s="12" t="str">
        <f>SUBSTITUTE(B84,3217,"JEET")</f>
        <v>GWL-JEET-GHI</v>
      </c>
      <c r="D84" s="26"/>
      <c r="E84" s="14" t="s">
        <v>12</v>
      </c>
      <c r="F84" s="13" t="s">
        <v>11</v>
      </c>
      <c r="G84" s="12" t="str">
        <f>_xlfn.TEXTJOIN(" ",TRUE,E84,F84)</f>
        <v>Arjun Thakur</v>
      </c>
      <c r="H84" s="4"/>
    </row>
    <row r="85" spans="1:8" ht="21.75" thickTop="1" thickBot="1" x14ac:dyDescent="0.3">
      <c r="A85" s="3"/>
      <c r="B85" s="14" t="s">
        <v>38</v>
      </c>
      <c r="C85" s="12" t="str">
        <f>SUBSTITUTE(B85,B85,"PYTHON")</f>
        <v>PYTHON</v>
      </c>
      <c r="D85" s="26"/>
      <c r="E85" s="14" t="s">
        <v>9</v>
      </c>
      <c r="F85" s="13" t="s">
        <v>8</v>
      </c>
      <c r="G85" s="12" t="str">
        <f>_xlfn.TEXTJOIN(" ",TRUE,E85,F85)</f>
        <v>Kunal Saxena</v>
      </c>
      <c r="H85" s="4"/>
    </row>
    <row r="86" spans="1:8" ht="21.75" thickTop="1" thickBot="1" x14ac:dyDescent="0.3">
      <c r="A86" s="3"/>
      <c r="B86" s="14" t="s">
        <v>37</v>
      </c>
      <c r="C86" s="12" t="str">
        <f>SUBSTITUTE(B86,B86,"JAVASCRIPT")</f>
        <v>JAVASCRIPT</v>
      </c>
      <c r="D86" s="26"/>
      <c r="E86" s="14" t="s">
        <v>6</v>
      </c>
      <c r="F86" s="13" t="s">
        <v>5</v>
      </c>
      <c r="G86" s="12" t="str">
        <f>_xlfn.TEXTJOIN(" ",TRUE,E86,F86)</f>
        <v>Siddharth Rao</v>
      </c>
      <c r="H86" s="4"/>
    </row>
    <row r="87" spans="1:8" ht="21.75" thickTop="1" thickBot="1" x14ac:dyDescent="0.3">
      <c r="A87" s="3"/>
      <c r="B87" s="9" t="s">
        <v>36</v>
      </c>
      <c r="C87" s="7" t="str">
        <f>SUBSTITUTE(B87,B87,"HTML")</f>
        <v>HTML</v>
      </c>
      <c r="D87" s="26"/>
      <c r="E87" s="9" t="s">
        <v>3</v>
      </c>
      <c r="F87" s="8" t="s">
        <v>2</v>
      </c>
      <c r="G87" s="7" t="str">
        <f>_xlfn.TEXTJOIN(" ",TRUE,E87,F87)</f>
        <v>Manish Tripathi</v>
      </c>
      <c r="H87" s="4"/>
    </row>
    <row r="88" spans="1:8" thickTop="1" thickBot="1" x14ac:dyDescent="0.3">
      <c r="B88" s="2"/>
      <c r="C88" s="2"/>
      <c r="E88" s="25"/>
      <c r="F88" s="25"/>
      <c r="G88" s="25"/>
    </row>
    <row r="89" spans="1:8" thickTop="1" thickBot="1" x14ac:dyDescent="0.3">
      <c r="A89" s="3"/>
      <c r="B89" s="36"/>
      <c r="C89" s="35"/>
      <c r="D89" s="3"/>
      <c r="E89" s="35"/>
      <c r="F89" s="25"/>
      <c r="G89" s="36"/>
      <c r="H89" s="4"/>
    </row>
    <row r="90" spans="1:8" ht="33" thickTop="1" thickBot="1" x14ac:dyDescent="0.5">
      <c r="A90" s="3"/>
      <c r="B90" s="24" t="s">
        <v>35</v>
      </c>
      <c r="C90" s="23"/>
      <c r="D90" s="3"/>
      <c r="E90" s="22" t="s">
        <v>34</v>
      </c>
      <c r="F90" s="21"/>
      <c r="G90" s="20"/>
      <c r="H90" s="4"/>
    </row>
    <row r="91" spans="1:8" ht="27.75" thickTop="1" thickBot="1" x14ac:dyDescent="0.3">
      <c r="A91" s="3"/>
      <c r="B91" s="16"/>
      <c r="C91" s="15"/>
      <c r="D91" s="3"/>
      <c r="E91" s="19" t="s">
        <v>33</v>
      </c>
      <c r="F91" s="18" t="s">
        <v>32</v>
      </c>
      <c r="G91" s="17" t="s">
        <v>31</v>
      </c>
      <c r="H91" s="4"/>
    </row>
    <row r="92" spans="1:8" ht="21.75" thickTop="1" thickBot="1" x14ac:dyDescent="0.3">
      <c r="A92" s="3"/>
      <c r="B92" s="16"/>
      <c r="C92" s="15"/>
      <c r="D92" s="3"/>
      <c r="E92" s="14" t="s">
        <v>30</v>
      </c>
      <c r="F92" s="13" t="s">
        <v>29</v>
      </c>
      <c r="G92" s="12" t="s">
        <v>28</v>
      </c>
      <c r="H92" s="4"/>
    </row>
    <row r="93" spans="1:8" ht="21.75" thickTop="1" thickBot="1" x14ac:dyDescent="0.3">
      <c r="A93" s="3"/>
      <c r="B93" s="16"/>
      <c r="C93" s="15"/>
      <c r="D93" s="3"/>
      <c r="E93" s="14" t="s">
        <v>27</v>
      </c>
      <c r="F93" s="13" t="s">
        <v>26</v>
      </c>
      <c r="G93" s="12" t="s">
        <v>25</v>
      </c>
      <c r="H93" s="4"/>
    </row>
    <row r="94" spans="1:8" ht="21.75" thickTop="1" thickBot="1" x14ac:dyDescent="0.3">
      <c r="A94" s="3"/>
      <c r="B94" s="16"/>
      <c r="C94" s="15"/>
      <c r="D94" s="3"/>
      <c r="E94" s="14" t="s">
        <v>24</v>
      </c>
      <c r="F94" s="13" t="s">
        <v>23</v>
      </c>
      <c r="G94" s="12" t="s">
        <v>22</v>
      </c>
      <c r="H94" s="4"/>
    </row>
    <row r="95" spans="1:8" ht="21.75" thickTop="1" thickBot="1" x14ac:dyDescent="0.3">
      <c r="A95" s="3"/>
      <c r="B95" s="16"/>
      <c r="C95" s="15"/>
      <c r="D95" s="3"/>
      <c r="E95" s="14" t="s">
        <v>21</v>
      </c>
      <c r="F95" s="13" t="s">
        <v>20</v>
      </c>
      <c r="G95" s="12" t="s">
        <v>19</v>
      </c>
      <c r="H95" s="4"/>
    </row>
    <row r="96" spans="1:8" ht="21.75" thickTop="1" thickBot="1" x14ac:dyDescent="0.3">
      <c r="A96" s="3"/>
      <c r="B96" s="16"/>
      <c r="C96" s="15"/>
      <c r="D96" s="3"/>
      <c r="E96" s="14" t="s">
        <v>18</v>
      </c>
      <c r="F96" s="13" t="s">
        <v>17</v>
      </c>
      <c r="G96" s="12" t="s">
        <v>16</v>
      </c>
      <c r="H96" s="4"/>
    </row>
    <row r="97" spans="1:9" ht="21.75" thickTop="1" thickBot="1" x14ac:dyDescent="0.3">
      <c r="A97" s="3"/>
      <c r="B97" s="16"/>
      <c r="C97" s="15"/>
      <c r="D97" s="3"/>
      <c r="E97" s="14" t="s">
        <v>15</v>
      </c>
      <c r="F97" s="13" t="s">
        <v>14</v>
      </c>
      <c r="G97" s="12" t="s">
        <v>13</v>
      </c>
      <c r="H97" s="4"/>
    </row>
    <row r="98" spans="1:9" ht="21.75" thickTop="1" thickBot="1" x14ac:dyDescent="0.3">
      <c r="A98" s="3"/>
      <c r="B98" s="16"/>
      <c r="C98" s="15"/>
      <c r="D98" s="3"/>
      <c r="E98" s="14" t="s">
        <v>12</v>
      </c>
      <c r="F98" s="13" t="s">
        <v>11</v>
      </c>
      <c r="G98" s="12" t="s">
        <v>10</v>
      </c>
      <c r="H98"/>
    </row>
    <row r="99" spans="1:9" ht="21.75" thickTop="1" thickBot="1" x14ac:dyDescent="0.3">
      <c r="A99" s="3"/>
      <c r="B99" s="16"/>
      <c r="C99" s="15"/>
      <c r="D99" s="3"/>
      <c r="E99" s="14" t="s">
        <v>9</v>
      </c>
      <c r="F99" s="13" t="s">
        <v>8</v>
      </c>
      <c r="G99" s="12" t="s">
        <v>7</v>
      </c>
      <c r="H99"/>
    </row>
    <row r="100" spans="1:9" ht="21.75" thickTop="1" thickBot="1" x14ac:dyDescent="0.3">
      <c r="A100" s="3"/>
      <c r="B100" s="16"/>
      <c r="C100" s="15"/>
      <c r="D100" s="3"/>
      <c r="E100" s="14" t="s">
        <v>6</v>
      </c>
      <c r="F100" s="13" t="s">
        <v>5</v>
      </c>
      <c r="G100" s="12" t="s">
        <v>4</v>
      </c>
      <c r="H100"/>
    </row>
    <row r="101" spans="1:9" ht="21.75" thickTop="1" thickBot="1" x14ac:dyDescent="0.3">
      <c r="A101" s="3"/>
      <c r="B101" s="11"/>
      <c r="C101" s="10"/>
      <c r="D101" s="3"/>
      <c r="E101" s="9" t="s">
        <v>3</v>
      </c>
      <c r="F101" s="8" t="s">
        <v>2</v>
      </c>
      <c r="G101" s="7" t="s">
        <v>1</v>
      </c>
      <c r="H101"/>
    </row>
    <row r="102" spans="1:9" thickTop="1" thickBot="1" x14ac:dyDescent="0.3">
      <c r="B102" s="2"/>
      <c r="C102" s="2"/>
      <c r="D102" s="2"/>
      <c r="E102" s="2"/>
      <c r="F102"/>
      <c r="G102"/>
      <c r="H102"/>
    </row>
    <row r="103" spans="1:9" thickTop="1" thickBot="1" x14ac:dyDescent="0.3">
      <c r="E103" s="3"/>
      <c r="F103"/>
      <c r="G103"/>
      <c r="H103"/>
      <c r="I103" s="4"/>
    </row>
    <row r="104" spans="1:9" thickTop="1" thickBot="1" x14ac:dyDescent="0.3">
      <c r="E104" s="3"/>
      <c r="F104"/>
      <c r="G104"/>
      <c r="H104"/>
      <c r="I104" s="4"/>
    </row>
    <row r="105" spans="1:9" thickTop="1" thickBot="1" x14ac:dyDescent="0.3">
      <c r="E105" s="3"/>
      <c r="F105"/>
      <c r="G105"/>
      <c r="H105"/>
      <c r="I105" s="4"/>
    </row>
    <row r="106" spans="1:9" thickTop="1" thickBot="1" x14ac:dyDescent="0.3">
      <c r="E106" s="6"/>
      <c r="F106"/>
      <c r="G106"/>
      <c r="H106"/>
      <c r="I106" s="4"/>
    </row>
    <row r="107" spans="1:9" thickTop="1" thickBot="1" x14ac:dyDescent="0.3">
      <c r="E107" s="3"/>
      <c r="F107"/>
      <c r="G107"/>
      <c r="H107"/>
      <c r="I107" s="4"/>
    </row>
    <row r="108" spans="1:9" thickTop="1" thickBot="1" x14ac:dyDescent="0.3">
      <c r="B108" s="5"/>
      <c r="E108" s="3"/>
      <c r="F108"/>
      <c r="G108"/>
      <c r="H108"/>
      <c r="I108" s="4"/>
    </row>
    <row r="109" spans="1:9" thickTop="1" thickBot="1" x14ac:dyDescent="0.3">
      <c r="E109" s="3"/>
      <c r="F109"/>
      <c r="G109"/>
      <c r="H109"/>
      <c r="I109" s="4"/>
    </row>
    <row r="110" spans="1:9" thickTop="1" thickBot="1" x14ac:dyDescent="0.3">
      <c r="E110" s="3"/>
      <c r="F110"/>
      <c r="G110"/>
      <c r="H110"/>
      <c r="I110" s="4"/>
    </row>
    <row r="111" spans="1:9" thickTop="1" thickBot="1" x14ac:dyDescent="0.3">
      <c r="E111" s="3"/>
      <c r="F111"/>
      <c r="G111"/>
      <c r="H111"/>
      <c r="I111" s="4"/>
    </row>
    <row r="112" spans="1:9" thickTop="1" thickBot="1" x14ac:dyDescent="0.3">
      <c r="E112" s="3"/>
      <c r="F112"/>
      <c r="G112"/>
      <c r="H112"/>
      <c r="I112" s="4"/>
    </row>
    <row r="113" spans="5:9" thickTop="1" thickBot="1" x14ac:dyDescent="0.3">
      <c r="E113" s="3"/>
      <c r="F113"/>
      <c r="G113"/>
      <c r="H113"/>
      <c r="I113" s="4"/>
    </row>
    <row r="114" spans="5:9" thickTop="1" thickBot="1" x14ac:dyDescent="0.3">
      <c r="E114" s="3"/>
      <c r="F114"/>
      <c r="G114"/>
      <c r="H114"/>
      <c r="I114" s="4"/>
    </row>
    <row r="115" spans="5:9" thickTop="1" thickBot="1" x14ac:dyDescent="0.3">
      <c r="E115" s="3"/>
      <c r="F115"/>
      <c r="G115"/>
      <c r="H115"/>
      <c r="I115" s="4"/>
    </row>
    <row r="116" spans="5:9" thickTop="1" thickBot="1" x14ac:dyDescent="0.3">
      <c r="E116" s="3"/>
      <c r="F116"/>
      <c r="G116"/>
      <c r="H116"/>
    </row>
    <row r="117" spans="5:9" thickTop="1" thickBot="1" x14ac:dyDescent="0.3">
      <c r="F117" s="2"/>
    </row>
    <row r="190" spans="9:9" thickTop="1" thickBot="1" x14ac:dyDescent="0.3">
      <c r="I190" s="1" t="s">
        <v>0</v>
      </c>
    </row>
    <row r="191" spans="9:9" x14ac:dyDescent="0.3"/>
  </sheetData>
  <mergeCells count="15">
    <mergeCell ref="B20:C20"/>
    <mergeCell ref="E20:F20"/>
    <mergeCell ref="B34:C34"/>
    <mergeCell ref="E34:F34"/>
    <mergeCell ref="B2:F2"/>
    <mergeCell ref="E6:F6"/>
    <mergeCell ref="E62:G62"/>
    <mergeCell ref="B90:C101"/>
    <mergeCell ref="B48:C48"/>
    <mergeCell ref="E48:F48"/>
    <mergeCell ref="B62:C62"/>
    <mergeCell ref="E76:G76"/>
    <mergeCell ref="E90:G90"/>
    <mergeCell ref="B76:C76"/>
    <mergeCell ref="B6:C6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2026-02-18T13:15:42Z</dcterms:created>
  <dcterms:modified xsi:type="dcterms:W3CDTF">2026-02-18T14:11:06Z</dcterms:modified>
</cp:coreProperties>
</file>