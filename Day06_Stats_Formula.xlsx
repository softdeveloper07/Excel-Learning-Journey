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Part_2_Formulas\"/>
    </mc:Choice>
  </mc:AlternateContent>
  <xr:revisionPtr revIDLastSave="0" documentId="13_ncr:1_{220AC943-8130-447E-B8CB-566AB0DB933C}" xr6:coauthVersionLast="47" xr6:coauthVersionMax="47" xr10:uidLastSave="{00000000-0000-0000-0000-000000000000}"/>
  <bookViews>
    <workbookView minimized="1" xWindow="5115" yWindow="3015" windowWidth="15375" windowHeight="7785" activeTab="1" xr2:uid="{493EA156-CA56-41E4-A4D6-620D59F8EFE4}"/>
  </bookViews>
  <sheets>
    <sheet name="Statistical formulas" sheetId="1" r:id="rId1"/>
    <sheet name="Cell Reffren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3" l="1"/>
  <c r="I31" i="3"/>
  <c r="I35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D67" i="3"/>
  <c r="E67" i="3"/>
  <c r="F67" i="3"/>
  <c r="G67" i="3"/>
  <c r="H67" i="3"/>
  <c r="I67" i="3"/>
  <c r="J67" i="3"/>
  <c r="K67" i="3"/>
  <c r="L67" i="3"/>
  <c r="M67" i="3"/>
  <c r="N67" i="3"/>
  <c r="O67" i="3"/>
  <c r="C67" i="3"/>
  <c r="D66" i="3"/>
  <c r="E66" i="3"/>
  <c r="F66" i="3"/>
  <c r="G66" i="3"/>
  <c r="H66" i="3"/>
  <c r="I66" i="3"/>
  <c r="J66" i="3"/>
  <c r="K66" i="3"/>
  <c r="L66" i="3"/>
  <c r="M66" i="3"/>
  <c r="N66" i="3"/>
  <c r="O66" i="3"/>
  <c r="C66" i="3"/>
  <c r="I44" i="3"/>
  <c r="J44" i="3"/>
  <c r="K44" i="3"/>
  <c r="L44" i="3"/>
  <c r="I45" i="3"/>
  <c r="J45" i="3"/>
  <c r="K45" i="3"/>
  <c r="L45" i="3"/>
  <c r="I46" i="3"/>
  <c r="J46" i="3"/>
  <c r="K46" i="3"/>
  <c r="L46" i="3"/>
  <c r="I47" i="3"/>
  <c r="J47" i="3"/>
  <c r="K47" i="3"/>
  <c r="L47" i="3"/>
  <c r="I48" i="3"/>
  <c r="J48" i="3"/>
  <c r="K48" i="3"/>
  <c r="L48" i="3"/>
  <c r="I49" i="3"/>
  <c r="J49" i="3"/>
  <c r="K49" i="3"/>
  <c r="L49" i="3"/>
  <c r="I50" i="3"/>
  <c r="J50" i="3"/>
  <c r="K50" i="3"/>
  <c r="L50" i="3"/>
  <c r="I51" i="3"/>
  <c r="J51" i="3"/>
  <c r="K51" i="3"/>
  <c r="L51" i="3"/>
  <c r="I52" i="3"/>
  <c r="J52" i="3"/>
  <c r="K52" i="3"/>
  <c r="L52" i="3"/>
  <c r="I53" i="3"/>
  <c r="J53" i="3"/>
  <c r="K53" i="3"/>
  <c r="L53" i="3"/>
  <c r="I54" i="3"/>
  <c r="J54" i="3"/>
  <c r="K54" i="3"/>
  <c r="L54" i="3"/>
  <c r="I55" i="3"/>
  <c r="J55" i="3"/>
  <c r="K55" i="3"/>
  <c r="L55" i="3"/>
  <c r="J43" i="3"/>
  <c r="K43" i="3"/>
  <c r="L43" i="3"/>
  <c r="I43" i="3"/>
  <c r="H44" i="3"/>
  <c r="H45" i="3"/>
  <c r="H46" i="3"/>
  <c r="H47" i="3"/>
  <c r="H48" i="3"/>
  <c r="H49" i="3"/>
  <c r="H50" i="3"/>
  <c r="H51" i="3"/>
  <c r="H52" i="3"/>
  <c r="H53" i="3"/>
  <c r="H54" i="3"/>
  <c r="H55" i="3"/>
  <c r="H43" i="3"/>
  <c r="G24" i="3"/>
  <c r="H24" i="3" s="1"/>
  <c r="G25" i="3"/>
  <c r="H25" i="3" s="1"/>
  <c r="G26" i="3"/>
  <c r="I26" i="3" s="1"/>
  <c r="G27" i="3"/>
  <c r="H27" i="3" s="1"/>
  <c r="G28" i="3"/>
  <c r="H28" i="3" s="1"/>
  <c r="G29" i="3"/>
  <c r="H29" i="3" s="1"/>
  <c r="G30" i="3"/>
  <c r="I30" i="3" s="1"/>
  <c r="G31" i="3"/>
  <c r="H31" i="3" s="1"/>
  <c r="G32" i="3"/>
  <c r="H32" i="3" s="1"/>
  <c r="G33" i="3"/>
  <c r="I33" i="3" s="1"/>
  <c r="G34" i="3"/>
  <c r="I34" i="3" s="1"/>
  <c r="G35" i="3"/>
  <c r="H35" i="3" s="1"/>
  <c r="G36" i="3"/>
  <c r="H36" i="3" s="1"/>
  <c r="G37" i="3"/>
  <c r="H37" i="3" s="1"/>
  <c r="G23" i="3"/>
  <c r="I23" i="3" s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3" i="3"/>
  <c r="I17" i="1"/>
  <c r="I18" i="1"/>
  <c r="I19" i="1"/>
  <c r="I20" i="1"/>
  <c r="I21" i="1"/>
  <c r="I22" i="1"/>
  <c r="I23" i="1"/>
  <c r="I24" i="1"/>
  <c r="I25" i="1"/>
  <c r="I16" i="1"/>
  <c r="H17" i="1"/>
  <c r="H18" i="1"/>
  <c r="H19" i="1"/>
  <c r="H20" i="1"/>
  <c r="H21" i="1"/>
  <c r="H22" i="1"/>
  <c r="H23" i="1"/>
  <c r="H24" i="1"/>
  <c r="H25" i="1"/>
  <c r="H16" i="1"/>
  <c r="G17" i="1"/>
  <c r="G18" i="1"/>
  <c r="G19" i="1"/>
  <c r="G20" i="1"/>
  <c r="G21" i="1"/>
  <c r="G22" i="1"/>
  <c r="G23" i="1"/>
  <c r="G24" i="1"/>
  <c r="G25" i="1"/>
  <c r="G16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H8" i="1" s="1"/>
  <c r="G9" i="1"/>
  <c r="H9" i="1" s="1"/>
  <c r="G10" i="1"/>
  <c r="H10" i="1" s="1"/>
  <c r="G11" i="1"/>
  <c r="G2" i="1"/>
  <c r="A2" i="1" a="1"/>
  <c r="A2" i="1" s="1"/>
  <c r="I37" i="3" l="1"/>
  <c r="I29" i="3"/>
  <c r="I25" i="3"/>
  <c r="I36" i="3"/>
  <c r="I32" i="3"/>
  <c r="I28" i="3"/>
  <c r="I24" i="3"/>
  <c r="H33" i="3"/>
  <c r="H23" i="3"/>
  <c r="H34" i="3"/>
  <c r="H30" i="3"/>
  <c r="H26" i="3"/>
  <c r="H6" i="1"/>
  <c r="H5" i="1"/>
  <c r="H2" i="1"/>
  <c r="H4" i="1"/>
  <c r="H11" i="1"/>
  <c r="H7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<sst xmlns="http://schemas.openxmlformats.org/spreadsheetml/2006/main" count="154" uniqueCount="81">
  <si>
    <t>S.NO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</si>
  <si>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</si>
  <si>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</si>
  <si>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</si>
  <si>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</si>
  <si>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</si>
  <si>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</si>
  <si>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</si>
  <si>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</si>
  <si>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</si>
  <si>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</si>
  <si>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</si>
  <si>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Hindi</t>
  </si>
  <si>
    <t>English</t>
  </si>
  <si>
    <t>Math</t>
  </si>
  <si>
    <t>Science</t>
  </si>
  <si>
    <t>Total</t>
  </si>
  <si>
    <t>SUM</t>
  </si>
  <si>
    <t>AVERAGE</t>
  </si>
  <si>
    <t>MAXIMUM</t>
  </si>
  <si>
    <t>MINIMUM</t>
  </si>
  <si>
    <t>FORMULAS</t>
  </si>
  <si>
    <t>MAX</t>
  </si>
  <si>
    <t>MIN</t>
  </si>
  <si>
    <t>COUNT FORMULAS</t>
  </si>
  <si>
    <t>S NO</t>
  </si>
  <si>
    <t>Student Name</t>
  </si>
  <si>
    <t xml:space="preserve">Hindi </t>
  </si>
  <si>
    <t>Maths</t>
  </si>
  <si>
    <t>Aarav Sharma</t>
  </si>
  <si>
    <t>ab</t>
  </si>
  <si>
    <t>Priya Verma</t>
  </si>
  <si>
    <t>Rohan Iyer</t>
  </si>
  <si>
    <t>Kavya Patel</t>
  </si>
  <si>
    <t>Aditya Mehta</t>
  </si>
  <si>
    <t>Sneha Nair</t>
  </si>
  <si>
    <t>Vikram Malhotra</t>
  </si>
  <si>
    <t>Ananya Joshi</t>
  </si>
  <si>
    <t>Rajat Bansal</t>
  </si>
  <si>
    <t>Neha Kapoor</t>
  </si>
  <si>
    <t>COUNT</t>
  </si>
  <si>
    <t>COUNTA</t>
  </si>
  <si>
    <t>COUNTBLANK</t>
  </si>
  <si>
    <t>S no</t>
  </si>
  <si>
    <t>Names</t>
  </si>
  <si>
    <t>Riya Verma</t>
  </si>
  <si>
    <t>Vivaan Mehta</t>
  </si>
  <si>
    <t>Ananya Iyer</t>
  </si>
  <si>
    <t>Karan Patel</t>
  </si>
  <si>
    <t>Sanya Malhotra</t>
  </si>
  <si>
    <t>Rahul Nair</t>
  </si>
  <si>
    <t>Pooja Deshmukh</t>
  </si>
  <si>
    <t>Aditya Reddy</t>
  </si>
  <si>
    <t>Meera Kapoor</t>
  </si>
  <si>
    <t>Rohan Bansal</t>
  </si>
  <si>
    <t>Ishita Choudhary</t>
  </si>
  <si>
    <t>Arjun Bhardwaj</t>
  </si>
  <si>
    <t>Neha Joshi</t>
  </si>
  <si>
    <t>Kabir Saxena</t>
  </si>
  <si>
    <t>Total Marks</t>
  </si>
  <si>
    <t>%</t>
  </si>
  <si>
    <t>Hindi %</t>
  </si>
  <si>
    <t>English %</t>
  </si>
  <si>
    <t>Maths %</t>
  </si>
  <si>
    <t>Science %</t>
  </si>
  <si>
    <t>TOTALWITH SUM RANGE</t>
  </si>
  <si>
    <t>TOTAL OF HINDI OR ANOTHER SUBJECT USE TOTALOF MARKS</t>
  </si>
  <si>
    <t>GENERAL FORMAT WITH USING 100 FOR PERCENTAGE</t>
  </si>
  <si>
    <t>CELL REFERENCE KEEP CHANGE VS ABSOLUTE</t>
  </si>
  <si>
    <t>Total
 Marks</t>
  </si>
  <si>
    <t>Aarav
 Sharma</t>
  </si>
  <si>
    <t>Riya 
Verma</t>
  </si>
  <si>
    <t>Vivaan
 Mehta</t>
  </si>
  <si>
    <t>Ananya 
Iyer</t>
  </si>
  <si>
    <t>Karan
 Patel</t>
  </si>
  <si>
    <t>Sanya
 Malhotra</t>
  </si>
  <si>
    <t>Rahul 
Nair</t>
  </si>
  <si>
    <t>Pooja 
Deshmukh</t>
  </si>
  <si>
    <t>Aditya 
Reddy</t>
  </si>
  <si>
    <t>Meera 
Kapoor</t>
  </si>
  <si>
    <t>Rohan 
Bansal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</si>
</sst>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&quot;0&quot;"/>
    <numFmt numFmtId="165" formatCode="0\ &quot;PERCENT&quot;"/>
  </numFmts>
  <fonts count="12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5"/>
      <color theme="0"/>
      <name val="Trebuchet MS"/>
      <family val="2"/>
      <scheme val="minor"/>
    </font>
    <font>
      <sz val="11"/>
      <color indexed="8"/>
      <name val="Trebuchet MS"/>
      <family val="2"/>
      <scheme val="minor"/>
    </font>
    <font>
      <b/>
      <sz val="11"/>
      <color indexed="9"/>
      <name val="Trebuchet MS"/>
      <family val="2"/>
      <scheme val="minor"/>
    </font>
    <font>
      <sz val="20"/>
      <color theme="0"/>
      <name val="Trebuchet MS"/>
      <family val="2"/>
      <scheme val="minor"/>
    </font>
    <font>
      <b/>
      <sz val="20"/>
      <color theme="0"/>
      <name val="Trebuchet MS"/>
      <family val="2"/>
      <scheme val="minor"/>
    </font>
    <font>
      <sz val="16"/>
      <color theme="0"/>
      <name val="Trebuchet MS"/>
      <family val="2"/>
      <scheme val="minor"/>
    </font>
    <font>
      <b/>
      <sz val="16"/>
      <color theme="0"/>
      <name val="Trebuchet MS"/>
      <family val="2"/>
      <scheme val="minor"/>
    </font>
    <font>
      <b/>
      <i/>
      <sz val="12"/>
      <color theme="1"/>
      <name val="Arial Black"/>
      <family val="2"/>
    </font>
  </fonts>
  <fills count="1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4" tint="-0.249977111117893"/>
        <bgColor indexed="6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35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2" applyBorder="1" applyAlignment="1">
      <alignment horizontal="center" vertical="center"/>
    </xf>
    <xf numFmtId="0" fontId="0" fillId="0" borderId="0" xfId="0" applyAlignment="1">
      <alignment horizontal="center"/>
    </xf>
    <xf numFmtId="0" fontId="5" fillId="5" borderId="3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0" xfId="0" applyFont="1"/>
    <xf numFmtId="0" fontId="11" fillId="15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65" fontId="0" fillId="11" borderId="2" xfId="1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12" borderId="2" xfId="1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 wrapText="1"/>
    </xf>
  </cellXfs>
  <cellStyles count="3">
    <cellStyle name="Accent4" xfId="2" builtinId="41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7030A0"/>
        </patternFill>
      </fill>
      <border>
        <left style="dashed">
          <color theme="1"/>
        </left>
        <right style="dashed">
          <color theme="1"/>
        </right>
        <top style="dashed">
          <color theme="1"/>
        </top>
        <bottom style="dashed">
          <color theme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acet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1D55-4643-4C27-A245-34FC678AB3EA}">
  <sheetPr>
    <tabColor rgb="FF003366"/>
  </sheetPr>
  <dimension ref="A1:O25"/>
  <sheetViews>
    <sheetView zoomScaleNormal="100" workbookViewId="0">
      <selection activeCell="M6" sqref="M6"/>
    </sheetView>
  </sheetViews>
  <sheetFormatPr defaultRowHeight="16.5" x14ac:dyDescent="0.3"/>
  <cols>
    <col min="1" max="1" width="5.375" bestFit="1" customWidth="1"/>
    <col min="2" max="2" width="14.875" bestFit="1" customWidth="1"/>
    <col min="3" max="3" width="6.25" bestFit="1" customWidth="1"/>
    <col min="4" max="4" width="7.25" bestFit="1" customWidth="1"/>
    <col min="5" max="5" width="6.25" bestFit="1" customWidth="1"/>
    <col min="6" max="6" width="8" bestFit="1" customWidth="1"/>
    <col min="7" max="7" width="7.25" bestFit="1" customWidth="1"/>
    <col min="8" max="8" width="8.5" bestFit="1" customWidth="1"/>
    <col min="9" max="9" width="13" bestFit="1" customWidth="1"/>
    <col min="10" max="10" width="12.625" customWidth="1"/>
    <col min="12" max="12" width="4.75" customWidth="1"/>
    <col min="13" max="13" width="8.75" customWidth="1"/>
    <col min="14" max="14" width="4.75" customWidth="1"/>
    <col min="15" max="15" width="4.5" customWidth="1"/>
  </cols>
  <sheetData>
    <row r="1" spans="1:15" ht="21.75" thickTop="1" thickBot="1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17</v>
      </c>
      <c r="H1" s="3" t="s">
        <v>18</v>
      </c>
      <c r="I1" s="3" t="s">
        <v>19</v>
      </c>
      <c r="J1" s="3" t="s">
        <v>20</v>
      </c>
    </row>
    <row r="2" spans="1:15" ht="18" thickTop="1" thickBot="1" x14ac:dyDescent="0.35">
      <c r="A2" s="2" cm="1">
        <f t="array" ref="A2:A11">_xlfn.SEQUENCE(10)</f>
        <v>1</v>
      </c>
      <c r="B2" s="2" t="s">
        <v>2</v>
      </c>
      <c r="C2" s="2">
        <v>89</v>
      </c>
      <c r="D2" s="2">
        <v>56</v>
      </c>
      <c r="E2" s="2">
        <v>69</v>
      </c>
      <c r="F2" s="2">
        <v>33</v>
      </c>
      <c r="G2" s="2">
        <f>SUM(C2:F2)</f>
        <v>247</v>
      </c>
      <c r="H2" s="2">
        <f>AVERAGE(D2:G2)</f>
        <v>101.25</v>
      </c>
      <c r="I2" s="2">
        <f>MAX(C2:F2)</f>
        <v>89</v>
      </c>
      <c r="J2" s="2">
        <f>MIN(C2:F2)</f>
        <v>33</v>
      </c>
      <c r="L2" s="22" t="s">
        <v>21</v>
      </c>
      <c r="M2" s="22"/>
      <c r="N2" s="22"/>
      <c r="O2" s="22"/>
    </row>
    <row r="3" spans="1:15" ht="18" thickTop="1" thickBot="1" x14ac:dyDescent="0.35">
      <c r="A3" s="2">
        <v>2</v>
      </c>
      <c r="B3" s="2" t="s">
        <v>3</v>
      </c>
      <c r="C3" s="2">
        <v>99</v>
      </c>
      <c r="D3" s="2">
        <v>62</v>
      </c>
      <c r="E3" s="2">
        <v>98</v>
      </c>
      <c r="F3" s="2">
        <v>66</v>
      </c>
      <c r="G3" s="2">
        <f t="shared" ref="G3:G11" si="0">SUM(C3:F3)</f>
        <v>325</v>
      </c>
      <c r="H3" s="2">
        <f t="shared" ref="H3:H11" si="1">AVERAGE(D3:G3)</f>
        <v>137.75</v>
      </c>
      <c r="I3" s="2">
        <f t="shared" ref="I3:I11" si="2">MAX(C3:F3)</f>
        <v>99</v>
      </c>
      <c r="J3" s="2">
        <f t="shared" ref="J3:J11" si="3">MIN(C3:F3)</f>
        <v>62</v>
      </c>
      <c r="L3" s="5" t="s">
        <v>17</v>
      </c>
      <c r="M3" s="5" t="s">
        <v>18</v>
      </c>
      <c r="N3" s="5" t="s">
        <v>22</v>
      </c>
      <c r="O3" s="5" t="s">
        <v>23</v>
      </c>
    </row>
    <row r="4" spans="1:15" ht="18" thickTop="1" thickBot="1" x14ac:dyDescent="0.35">
      <c r="A4" s="2">
        <v>3</v>
      </c>
      <c r="B4" s="2" t="s">
        <v>4</v>
      </c>
      <c r="C4" s="2">
        <v>68</v>
      </c>
      <c r="D4" s="2">
        <v>52</v>
      </c>
      <c r="E4" s="2">
        <v>77</v>
      </c>
      <c r="F4" s="2">
        <v>78</v>
      </c>
      <c r="G4" s="2">
        <f t="shared" si="0"/>
        <v>275</v>
      </c>
      <c r="H4" s="2">
        <f t="shared" si="1"/>
        <v>120.5</v>
      </c>
      <c r="I4" s="2">
        <f t="shared" si="2"/>
        <v>78</v>
      </c>
      <c r="J4" s="2">
        <f t="shared" si="3"/>
        <v>52</v>
      </c>
    </row>
    <row r="5" spans="1:15" ht="18" thickTop="1" thickBot="1" x14ac:dyDescent="0.35">
      <c r="A5" s="2">
        <v>4</v>
      </c>
      <c r="B5" s="2" t="s">
        <v>5</v>
      </c>
      <c r="C5" s="2">
        <v>43</v>
      </c>
      <c r="D5" s="2">
        <v>50</v>
      </c>
      <c r="E5" s="2">
        <v>38</v>
      </c>
      <c r="F5" s="2">
        <v>94</v>
      </c>
      <c r="G5" s="2">
        <f t="shared" si="0"/>
        <v>225</v>
      </c>
      <c r="H5" s="2">
        <f t="shared" si="1"/>
        <v>101.75</v>
      </c>
      <c r="I5" s="2">
        <f t="shared" si="2"/>
        <v>94</v>
      </c>
      <c r="J5" s="2">
        <f t="shared" si="3"/>
        <v>38</v>
      </c>
    </row>
    <row r="6" spans="1:15" ht="18" thickTop="1" thickBot="1" x14ac:dyDescent="0.35">
      <c r="A6" s="2">
        <v>5</v>
      </c>
      <c r="B6" s="2" t="s">
        <v>6</v>
      </c>
      <c r="C6" s="2">
        <v>34</v>
      </c>
      <c r="D6" s="2">
        <v>87</v>
      </c>
      <c r="E6" s="2">
        <v>69</v>
      </c>
      <c r="F6" s="2">
        <v>56</v>
      </c>
      <c r="G6" s="2">
        <f t="shared" si="0"/>
        <v>246</v>
      </c>
      <c r="H6" s="2">
        <f t="shared" si="1"/>
        <v>114.5</v>
      </c>
      <c r="I6" s="2">
        <f t="shared" si="2"/>
        <v>87</v>
      </c>
      <c r="J6" s="2">
        <f t="shared" si="3"/>
        <v>34</v>
      </c>
    </row>
    <row r="7" spans="1:15" ht="18" thickTop="1" thickBot="1" x14ac:dyDescent="0.35">
      <c r="A7" s="2">
        <v>6</v>
      </c>
      <c r="B7" s="2" t="s">
        <v>7</v>
      </c>
      <c r="C7" s="2">
        <v>42</v>
      </c>
      <c r="D7" s="2">
        <v>75</v>
      </c>
      <c r="E7" s="2">
        <v>69</v>
      </c>
      <c r="F7" s="2">
        <v>71</v>
      </c>
      <c r="G7" s="2">
        <f t="shared" si="0"/>
        <v>257</v>
      </c>
      <c r="H7" s="2">
        <f t="shared" si="1"/>
        <v>118</v>
      </c>
      <c r="I7" s="2">
        <f t="shared" si="2"/>
        <v>75</v>
      </c>
      <c r="J7" s="2">
        <f t="shared" si="3"/>
        <v>42</v>
      </c>
    </row>
    <row r="8" spans="1:15" ht="18" thickTop="1" thickBot="1" x14ac:dyDescent="0.35">
      <c r="A8" s="2">
        <v>7</v>
      </c>
      <c r="B8" s="2" t="s">
        <v>8</v>
      </c>
      <c r="C8" s="2">
        <v>36</v>
      </c>
      <c r="D8" s="2">
        <v>34</v>
      </c>
      <c r="E8" s="2">
        <v>89</v>
      </c>
      <c r="F8" s="2">
        <v>42</v>
      </c>
      <c r="G8" s="2">
        <f t="shared" si="0"/>
        <v>201</v>
      </c>
      <c r="H8" s="2">
        <f t="shared" si="1"/>
        <v>91.5</v>
      </c>
      <c r="I8" s="2">
        <f t="shared" si="2"/>
        <v>89</v>
      </c>
      <c r="J8" s="2">
        <f t="shared" si="3"/>
        <v>34</v>
      </c>
    </row>
    <row r="9" spans="1:15" ht="18" thickTop="1" thickBot="1" x14ac:dyDescent="0.35">
      <c r="A9" s="2">
        <v>8</v>
      </c>
      <c r="B9" s="2" t="s">
        <v>9</v>
      </c>
      <c r="C9" s="2">
        <v>88</v>
      </c>
      <c r="D9" s="2">
        <v>97</v>
      </c>
      <c r="E9" s="2">
        <v>54</v>
      </c>
      <c r="F9" s="2">
        <v>42</v>
      </c>
      <c r="G9" s="2">
        <f t="shared" si="0"/>
        <v>281</v>
      </c>
      <c r="H9" s="2">
        <f t="shared" si="1"/>
        <v>118.5</v>
      </c>
      <c r="I9" s="2">
        <f t="shared" si="2"/>
        <v>97</v>
      </c>
      <c r="J9" s="2">
        <f t="shared" si="3"/>
        <v>42</v>
      </c>
    </row>
    <row r="10" spans="1:15" ht="18" thickTop="1" thickBot="1" x14ac:dyDescent="0.35">
      <c r="A10" s="2">
        <v>9</v>
      </c>
      <c r="B10" s="2" t="s">
        <v>10</v>
      </c>
      <c r="C10" s="2">
        <v>45</v>
      </c>
      <c r="D10" s="2">
        <v>55</v>
      </c>
      <c r="E10" s="2">
        <v>57</v>
      </c>
      <c r="F10" s="2">
        <v>34</v>
      </c>
      <c r="G10" s="2">
        <f t="shared" si="0"/>
        <v>191</v>
      </c>
      <c r="H10" s="2">
        <f t="shared" si="1"/>
        <v>84.25</v>
      </c>
      <c r="I10" s="2">
        <f t="shared" si="2"/>
        <v>57</v>
      </c>
      <c r="J10" s="2">
        <f t="shared" si="3"/>
        <v>34</v>
      </c>
    </row>
    <row r="11" spans="1:15" ht="18" thickTop="1" thickBot="1" x14ac:dyDescent="0.35">
      <c r="A11" s="2">
        <v>10</v>
      </c>
      <c r="B11" s="2" t="s">
        <v>11</v>
      </c>
      <c r="C11" s="2">
        <v>73</v>
      </c>
      <c r="D11" s="2">
        <v>53</v>
      </c>
      <c r="E11" s="2">
        <v>59</v>
      </c>
      <c r="F11" s="2">
        <v>92</v>
      </c>
      <c r="G11" s="2">
        <f t="shared" si="0"/>
        <v>277</v>
      </c>
      <c r="H11" s="2">
        <f t="shared" si="1"/>
        <v>120.25</v>
      </c>
      <c r="I11" s="2">
        <f t="shared" si="2"/>
        <v>92</v>
      </c>
      <c r="J11" s="2">
        <f t="shared" si="3"/>
        <v>53</v>
      </c>
    </row>
    <row r="12" spans="1:15" ht="17.25" thickTop="1" x14ac:dyDescent="0.3"/>
    <row r="13" spans="1:15" ht="17.25" thickBot="1" x14ac:dyDescent="0.35"/>
    <row r="14" spans="1:15" x14ac:dyDescent="0.3">
      <c r="A14" s="23" t="s">
        <v>24</v>
      </c>
      <c r="B14" s="24"/>
      <c r="C14" s="24"/>
      <c r="D14" s="24"/>
      <c r="E14" s="24"/>
      <c r="F14" s="24"/>
      <c r="G14" s="24"/>
      <c r="H14" s="24"/>
      <c r="I14" s="25"/>
    </row>
    <row r="15" spans="1:15" x14ac:dyDescent="0.3">
      <c r="A15" s="9" t="s">
        <v>25</v>
      </c>
      <c r="B15" s="6" t="s">
        <v>26</v>
      </c>
      <c r="C15" s="6" t="s">
        <v>27</v>
      </c>
      <c r="D15" s="6" t="s">
        <v>13</v>
      </c>
      <c r="E15" s="6" t="s">
        <v>28</v>
      </c>
      <c r="F15" s="6" t="s">
        <v>15</v>
      </c>
      <c r="G15" s="7" t="s">
        <v>40</v>
      </c>
      <c r="H15" s="7" t="s">
        <v>41</v>
      </c>
      <c r="I15" s="10" t="s">
        <v>42</v>
      </c>
    </row>
    <row r="16" spans="1:15" x14ac:dyDescent="0.3">
      <c r="A16" s="11">
        <v>1</v>
      </c>
      <c r="B16" s="8" t="s">
        <v>29</v>
      </c>
      <c r="C16" s="8">
        <v>90</v>
      </c>
      <c r="D16" s="8" t="s">
        <v>30</v>
      </c>
      <c r="E16" s="8">
        <v>10</v>
      </c>
      <c r="F16" s="8">
        <v>47</v>
      </c>
      <c r="G16" s="8">
        <f>COUNT(C16:F16)</f>
        <v>3</v>
      </c>
      <c r="H16" s="8">
        <f>COUNTA(C16:F16)</f>
        <v>4</v>
      </c>
      <c r="I16" s="12">
        <f>COUNTBLANK(C16:F16)</f>
        <v>0</v>
      </c>
    </row>
    <row r="17" spans="1:9" x14ac:dyDescent="0.3">
      <c r="A17" s="11">
        <v>2</v>
      </c>
      <c r="B17" s="8" t="s">
        <v>31</v>
      </c>
      <c r="C17" s="8">
        <v>17</v>
      </c>
      <c r="D17" s="8">
        <v>84</v>
      </c>
      <c r="E17" s="8">
        <v>0</v>
      </c>
      <c r="F17" s="8">
        <v>49</v>
      </c>
      <c r="G17" s="8">
        <f t="shared" ref="G17:G25" si="4">COUNT(C17:F17)</f>
        <v>4</v>
      </c>
      <c r="H17" s="8">
        <f t="shared" ref="H17:H25" si="5">COUNTA(C17:F17)</f>
        <v>4</v>
      </c>
      <c r="I17" s="12">
        <f t="shared" ref="I17:I25" si="6">COUNTBLANK(C17:F17)</f>
        <v>0</v>
      </c>
    </row>
    <row r="18" spans="1:9" x14ac:dyDescent="0.3">
      <c r="A18" s="11">
        <v>3</v>
      </c>
      <c r="B18" s="8" t="s">
        <v>32</v>
      </c>
      <c r="C18" s="8">
        <v>35</v>
      </c>
      <c r="D18" s="8" t="s">
        <v>30</v>
      </c>
      <c r="E18" s="8"/>
      <c r="F18" s="8">
        <v>33</v>
      </c>
      <c r="G18" s="8">
        <f t="shared" si="4"/>
        <v>2</v>
      </c>
      <c r="H18" s="8">
        <f t="shared" si="5"/>
        <v>3</v>
      </c>
      <c r="I18" s="12">
        <f t="shared" si="6"/>
        <v>1</v>
      </c>
    </row>
    <row r="19" spans="1:9" x14ac:dyDescent="0.3">
      <c r="A19" s="11">
        <v>4</v>
      </c>
      <c r="B19" s="8" t="s">
        <v>33</v>
      </c>
      <c r="C19" s="8">
        <v>83</v>
      </c>
      <c r="D19" s="8" t="s">
        <v>30</v>
      </c>
      <c r="E19" s="8" t="s">
        <v>30</v>
      </c>
      <c r="F19" s="8">
        <v>18</v>
      </c>
      <c r="G19" s="8">
        <f t="shared" si="4"/>
        <v>2</v>
      </c>
      <c r="H19" s="8">
        <f t="shared" si="5"/>
        <v>4</v>
      </c>
      <c r="I19" s="12">
        <f t="shared" si="6"/>
        <v>0</v>
      </c>
    </row>
    <row r="20" spans="1:9" x14ac:dyDescent="0.3">
      <c r="A20" s="11">
        <v>5</v>
      </c>
      <c r="B20" s="8" t="s">
        <v>34</v>
      </c>
      <c r="C20" s="8">
        <v>74</v>
      </c>
      <c r="D20" s="8"/>
      <c r="E20" s="8">
        <v>27</v>
      </c>
      <c r="F20" s="8">
        <v>32</v>
      </c>
      <c r="G20" s="8">
        <f t="shared" si="4"/>
        <v>3</v>
      </c>
      <c r="H20" s="8">
        <f t="shared" si="5"/>
        <v>3</v>
      </c>
      <c r="I20" s="12">
        <f t="shared" si="6"/>
        <v>1</v>
      </c>
    </row>
    <row r="21" spans="1:9" x14ac:dyDescent="0.3">
      <c r="A21" s="11">
        <v>6</v>
      </c>
      <c r="B21" s="8" t="s">
        <v>35</v>
      </c>
      <c r="C21" s="8">
        <v>34</v>
      </c>
      <c r="D21" s="8">
        <v>63</v>
      </c>
      <c r="E21" s="8">
        <v>73</v>
      </c>
      <c r="F21" s="8">
        <v>87</v>
      </c>
      <c r="G21" s="8">
        <f t="shared" si="4"/>
        <v>4</v>
      </c>
      <c r="H21" s="8">
        <f t="shared" si="5"/>
        <v>4</v>
      </c>
      <c r="I21" s="12">
        <f t="shared" si="6"/>
        <v>0</v>
      </c>
    </row>
    <row r="22" spans="1:9" x14ac:dyDescent="0.3">
      <c r="A22" s="11">
        <v>7</v>
      </c>
      <c r="B22" s="8" t="s">
        <v>36</v>
      </c>
      <c r="C22" s="8">
        <v>34</v>
      </c>
      <c r="D22" s="8">
        <v>5</v>
      </c>
      <c r="E22" s="8"/>
      <c r="F22" s="8">
        <v>51</v>
      </c>
      <c r="G22" s="8">
        <f t="shared" si="4"/>
        <v>3</v>
      </c>
      <c r="H22" s="8">
        <f t="shared" si="5"/>
        <v>3</v>
      </c>
      <c r="I22" s="12">
        <f t="shared" si="6"/>
        <v>1</v>
      </c>
    </row>
    <row r="23" spans="1:9" x14ac:dyDescent="0.3">
      <c r="A23" s="11">
        <v>8</v>
      </c>
      <c r="B23" s="8" t="s">
        <v>37</v>
      </c>
      <c r="C23" s="8">
        <v>65</v>
      </c>
      <c r="D23" s="8" t="s">
        <v>30</v>
      </c>
      <c r="E23" s="8">
        <v>54</v>
      </c>
      <c r="F23" s="8">
        <v>0</v>
      </c>
      <c r="G23" s="8">
        <f t="shared" si="4"/>
        <v>3</v>
      </c>
      <c r="H23" s="8">
        <f t="shared" si="5"/>
        <v>4</v>
      </c>
      <c r="I23" s="12">
        <f t="shared" si="6"/>
        <v>0</v>
      </c>
    </row>
    <row r="24" spans="1:9" x14ac:dyDescent="0.3">
      <c r="A24" s="11">
        <v>9</v>
      </c>
      <c r="B24" s="8" t="s">
        <v>38</v>
      </c>
      <c r="C24" s="8">
        <v>61</v>
      </c>
      <c r="D24" s="8">
        <v>13</v>
      </c>
      <c r="E24" s="8"/>
      <c r="F24" s="8">
        <v>60</v>
      </c>
      <c r="G24" s="8">
        <f t="shared" si="4"/>
        <v>3</v>
      </c>
      <c r="H24" s="8">
        <f t="shared" si="5"/>
        <v>3</v>
      </c>
      <c r="I24" s="12">
        <f t="shared" si="6"/>
        <v>1</v>
      </c>
    </row>
    <row r="25" spans="1:9" ht="17.25" thickBot="1" x14ac:dyDescent="0.35">
      <c r="A25" s="13">
        <v>10</v>
      </c>
      <c r="B25" s="14" t="s">
        <v>39</v>
      </c>
      <c r="C25" s="14">
        <v>82</v>
      </c>
      <c r="D25" s="14" t="s">
        <v>30</v>
      </c>
      <c r="E25" s="14">
        <v>75</v>
      </c>
      <c r="F25" s="14">
        <v>25</v>
      </c>
      <c r="G25" s="14">
        <f t="shared" si="4"/>
        <v>3</v>
      </c>
      <c r="H25" s="14">
        <f t="shared" si="5"/>
        <v>4</v>
      </c>
      <c r="I25" s="15">
        <f t="shared" si="6"/>
        <v>0</v>
      </c>
    </row>
  </sheetData>
  <mergeCells count="2">
    <mergeCell ref="L2:O2"/>
    <mergeCell ref="A14:I14"/>
  </mergeCells>
  <conditionalFormatting sqref="G2:J11">
    <cfRule type="cellIs" dxfId="4" priority="3" operator="greaterThan">
      <formula>100</formula>
    </cfRule>
  </conditionalFormatting>
  <conditionalFormatting sqref="H2:J11">
    <cfRule type="cellIs" dxfId="3" priority="1" operator="lessThan">
      <formula>99</formula>
    </cfRule>
    <cfRule type="cellIs" dxfId="2" priority="2" operator="lessThan">
      <formula>99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0087-663D-4594-B1E2-3BA2FE478638}">
  <dimension ref="A1:O71"/>
  <sheetViews>
    <sheetView tabSelected="1" topLeftCell="A51" zoomScale="85" zoomScaleNormal="85" workbookViewId="0">
      <selection activeCell="C60" sqref="C60:O60"/>
    </sheetView>
  </sheetViews>
  <sheetFormatPr defaultRowHeight="16.5" x14ac:dyDescent="0.3"/>
  <cols>
    <col min="1" max="1" width="6.75" style="4" bestFit="1" customWidth="1"/>
    <col min="2" max="2" width="14.875" style="4" bestFit="1" customWidth="1"/>
    <col min="3" max="3" width="12.5" style="4" bestFit="1" customWidth="1"/>
    <col min="4" max="4" width="11.125" style="4" bestFit="1" customWidth="1"/>
    <col min="5" max="5" width="12.125" style="4" bestFit="1" customWidth="1"/>
    <col min="6" max="7" width="11.125" style="4" bestFit="1" customWidth="1"/>
    <col min="8" max="8" width="13.625" style="4" bestFit="1" customWidth="1"/>
    <col min="9" max="9" width="12" style="4" bestFit="1" customWidth="1"/>
    <col min="10" max="10" width="14.875" style="4" bestFit="1" customWidth="1"/>
    <col min="11" max="11" width="12" style="4" bestFit="1" customWidth="1"/>
    <col min="12" max="12" width="13.625" style="4" bestFit="1" customWidth="1"/>
    <col min="13" max="13" width="11.75" style="4" bestFit="1" customWidth="1"/>
    <col min="14" max="14" width="14.875" style="4" bestFit="1" customWidth="1"/>
    <col min="15" max="15" width="14.125" style="4" bestFit="1" customWidth="1"/>
    <col min="16" max="16384" width="9" style="4"/>
  </cols>
  <sheetData>
    <row r="1" spans="1:7" ht="29.25" thickTop="1" thickBot="1" x14ac:dyDescent="0.35">
      <c r="A1" s="31" t="s">
        <v>65</v>
      </c>
      <c r="B1" s="31"/>
      <c r="C1" s="31"/>
      <c r="D1" s="31"/>
      <c r="E1" s="31"/>
      <c r="F1" s="31"/>
      <c r="G1" s="31"/>
    </row>
    <row r="2" spans="1:7" ht="21" thickTop="1" thickBot="1" x14ac:dyDescent="0.35">
      <c r="A2" s="17" t="s">
        <v>43</v>
      </c>
      <c r="B2" s="17" t="s">
        <v>44</v>
      </c>
      <c r="C2" s="17" t="s">
        <v>12</v>
      </c>
      <c r="D2" s="17" t="s">
        <v>13</v>
      </c>
      <c r="E2" s="17" t="s">
        <v>28</v>
      </c>
      <c r="F2" s="17" t="s">
        <v>15</v>
      </c>
      <c r="G2" s="17" t="s">
        <v>16</v>
      </c>
    </row>
    <row r="3" spans="1:7" ht="18" thickTop="1" thickBot="1" x14ac:dyDescent="0.35">
      <c r="A3" s="2">
        <v>1</v>
      </c>
      <c r="B3" s="2" t="s">
        <v>29</v>
      </c>
      <c r="C3" s="2">
        <v>41</v>
      </c>
      <c r="D3" s="2">
        <v>39</v>
      </c>
      <c r="E3" s="2">
        <v>75</v>
      </c>
      <c r="F3" s="2">
        <v>34</v>
      </c>
      <c r="G3" s="18">
        <f>SUM(C3:F3)</f>
        <v>189</v>
      </c>
    </row>
    <row r="4" spans="1:7" ht="18" thickTop="1" thickBot="1" x14ac:dyDescent="0.35">
      <c r="A4" s="2">
        <v>2</v>
      </c>
      <c r="B4" s="2" t="s">
        <v>45</v>
      </c>
      <c r="C4" s="2">
        <v>67</v>
      </c>
      <c r="D4" s="2">
        <v>57</v>
      </c>
      <c r="E4" s="2">
        <v>73</v>
      </c>
      <c r="F4" s="2">
        <v>47</v>
      </c>
      <c r="G4" s="18">
        <f t="shared" ref="G4:G17" si="0">SUM(C4:F4)</f>
        <v>244</v>
      </c>
    </row>
    <row r="5" spans="1:7" ht="18" thickTop="1" thickBot="1" x14ac:dyDescent="0.35">
      <c r="A5" s="2">
        <v>3</v>
      </c>
      <c r="B5" s="2" t="s">
        <v>46</v>
      </c>
      <c r="C5" s="2">
        <v>22</v>
      </c>
      <c r="D5" s="2">
        <v>77</v>
      </c>
      <c r="E5" s="2">
        <v>29</v>
      </c>
      <c r="F5" s="2">
        <v>93</v>
      </c>
      <c r="G5" s="18">
        <f t="shared" si="0"/>
        <v>221</v>
      </c>
    </row>
    <row r="6" spans="1:7" ht="18" thickTop="1" thickBot="1" x14ac:dyDescent="0.35">
      <c r="A6" s="2">
        <v>4</v>
      </c>
      <c r="B6" s="2" t="s">
        <v>47</v>
      </c>
      <c r="C6" s="2">
        <v>58</v>
      </c>
      <c r="D6" s="2">
        <v>80</v>
      </c>
      <c r="E6" s="2">
        <v>28</v>
      </c>
      <c r="F6" s="2">
        <v>92</v>
      </c>
      <c r="G6" s="18">
        <f t="shared" si="0"/>
        <v>258</v>
      </c>
    </row>
    <row r="7" spans="1:7" ht="18" thickTop="1" thickBot="1" x14ac:dyDescent="0.35">
      <c r="A7" s="2">
        <v>5</v>
      </c>
      <c r="B7" s="2" t="s">
        <v>48</v>
      </c>
      <c r="C7" s="2">
        <v>89</v>
      </c>
      <c r="D7" s="2">
        <v>69</v>
      </c>
      <c r="E7" s="2">
        <v>92</v>
      </c>
      <c r="F7" s="2">
        <v>25</v>
      </c>
      <c r="G7" s="18">
        <f t="shared" si="0"/>
        <v>275</v>
      </c>
    </row>
    <row r="8" spans="1:7" ht="18" thickTop="1" thickBot="1" x14ac:dyDescent="0.35">
      <c r="A8" s="2">
        <v>6</v>
      </c>
      <c r="B8" s="2" t="s">
        <v>49</v>
      </c>
      <c r="C8" s="2">
        <v>43</v>
      </c>
      <c r="D8" s="2">
        <v>20</v>
      </c>
      <c r="E8" s="2">
        <v>66</v>
      </c>
      <c r="F8" s="2">
        <v>50</v>
      </c>
      <c r="G8" s="18">
        <f t="shared" si="0"/>
        <v>179</v>
      </c>
    </row>
    <row r="9" spans="1:7" ht="18" thickTop="1" thickBot="1" x14ac:dyDescent="0.35">
      <c r="A9" s="2">
        <v>7</v>
      </c>
      <c r="B9" s="2" t="s">
        <v>50</v>
      </c>
      <c r="C9" s="2">
        <v>21</v>
      </c>
      <c r="D9" s="2">
        <v>27</v>
      </c>
      <c r="E9" s="2">
        <v>70</v>
      </c>
      <c r="F9" s="2">
        <v>53</v>
      </c>
      <c r="G9" s="18">
        <f t="shared" si="0"/>
        <v>171</v>
      </c>
    </row>
    <row r="10" spans="1:7" ht="18" thickTop="1" thickBot="1" x14ac:dyDescent="0.35">
      <c r="A10" s="2">
        <v>8</v>
      </c>
      <c r="B10" s="2" t="s">
        <v>51</v>
      </c>
      <c r="C10" s="2">
        <v>21</v>
      </c>
      <c r="D10" s="2">
        <v>35</v>
      </c>
      <c r="E10" s="2">
        <v>36</v>
      </c>
      <c r="F10" s="2">
        <v>41</v>
      </c>
      <c r="G10" s="18">
        <f t="shared" si="0"/>
        <v>133</v>
      </c>
    </row>
    <row r="11" spans="1:7" ht="18" thickTop="1" thickBot="1" x14ac:dyDescent="0.35">
      <c r="A11" s="2">
        <v>9</v>
      </c>
      <c r="B11" s="2" t="s">
        <v>52</v>
      </c>
      <c r="C11" s="2">
        <v>61</v>
      </c>
      <c r="D11" s="2">
        <v>19</v>
      </c>
      <c r="E11" s="2">
        <v>25</v>
      </c>
      <c r="F11" s="2">
        <v>73</v>
      </c>
      <c r="G11" s="18">
        <f t="shared" si="0"/>
        <v>178</v>
      </c>
    </row>
    <row r="12" spans="1:7" ht="18" thickTop="1" thickBot="1" x14ac:dyDescent="0.35">
      <c r="A12" s="2">
        <v>10</v>
      </c>
      <c r="B12" s="2" t="s">
        <v>53</v>
      </c>
      <c r="C12" s="2">
        <v>69</v>
      </c>
      <c r="D12" s="2">
        <v>32</v>
      </c>
      <c r="E12" s="2">
        <v>59</v>
      </c>
      <c r="F12" s="2">
        <v>41</v>
      </c>
      <c r="G12" s="18">
        <f t="shared" si="0"/>
        <v>201</v>
      </c>
    </row>
    <row r="13" spans="1:7" ht="18" thickTop="1" thickBot="1" x14ac:dyDescent="0.35">
      <c r="A13" s="2">
        <v>11</v>
      </c>
      <c r="B13" s="2" t="s">
        <v>54</v>
      </c>
      <c r="C13" s="2">
        <v>27</v>
      </c>
      <c r="D13" s="2">
        <v>75</v>
      </c>
      <c r="E13" s="2">
        <v>68</v>
      </c>
      <c r="F13" s="2">
        <v>79</v>
      </c>
      <c r="G13" s="18">
        <f t="shared" si="0"/>
        <v>249</v>
      </c>
    </row>
    <row r="14" spans="1:7" ht="18" thickTop="1" thickBot="1" x14ac:dyDescent="0.35">
      <c r="A14" s="2">
        <v>12</v>
      </c>
      <c r="B14" s="2" t="s">
        <v>55</v>
      </c>
      <c r="C14" s="2">
        <v>76</v>
      </c>
      <c r="D14" s="2">
        <v>54</v>
      </c>
      <c r="E14" s="2">
        <v>40</v>
      </c>
      <c r="F14" s="2">
        <v>30</v>
      </c>
      <c r="G14" s="18">
        <f t="shared" si="0"/>
        <v>200</v>
      </c>
    </row>
    <row r="15" spans="1:7" ht="18" thickTop="1" thickBot="1" x14ac:dyDescent="0.35">
      <c r="A15" s="2">
        <v>13</v>
      </c>
      <c r="B15" s="2" t="s">
        <v>56</v>
      </c>
      <c r="C15" s="2">
        <v>29</v>
      </c>
      <c r="D15" s="2">
        <v>15</v>
      </c>
      <c r="E15" s="2">
        <v>81</v>
      </c>
      <c r="F15" s="2">
        <v>56</v>
      </c>
      <c r="G15" s="18">
        <f t="shared" si="0"/>
        <v>181</v>
      </c>
    </row>
    <row r="16" spans="1:7" ht="18" thickTop="1" thickBot="1" x14ac:dyDescent="0.35">
      <c r="A16" s="2">
        <v>14</v>
      </c>
      <c r="B16" s="2" t="s">
        <v>57</v>
      </c>
      <c r="C16" s="2">
        <v>62</v>
      </c>
      <c r="D16" s="2">
        <v>21</v>
      </c>
      <c r="E16" s="2">
        <v>67</v>
      </c>
      <c r="F16" s="2">
        <v>88</v>
      </c>
      <c r="G16" s="18">
        <f t="shared" si="0"/>
        <v>238</v>
      </c>
    </row>
    <row r="17" spans="1:9" ht="18" thickTop="1" thickBot="1" x14ac:dyDescent="0.35">
      <c r="A17" s="2">
        <v>15</v>
      </c>
      <c r="B17" s="2" t="s">
        <v>58</v>
      </c>
      <c r="C17" s="2">
        <v>15</v>
      </c>
      <c r="D17" s="2">
        <v>95</v>
      </c>
      <c r="E17" s="2">
        <v>29</v>
      </c>
      <c r="F17" s="2">
        <v>64</v>
      </c>
      <c r="G17" s="18">
        <f t="shared" si="0"/>
        <v>203</v>
      </c>
    </row>
    <row r="18" spans="1:9" ht="17.25" thickTop="1" x14ac:dyDescent="0.3"/>
    <row r="19" spans="1:9" ht="17.25" thickBot="1" x14ac:dyDescent="0.35"/>
    <row r="20" spans="1:9" ht="29.25" thickTop="1" thickBot="1" x14ac:dyDescent="0.5">
      <c r="A20" s="30" t="s">
        <v>68</v>
      </c>
      <c r="B20" s="30"/>
      <c r="C20" s="30"/>
      <c r="D20" s="30"/>
      <c r="E20" s="30"/>
      <c r="F20" s="30"/>
      <c r="G20" s="30"/>
      <c r="H20" s="30"/>
      <c r="I20" s="30"/>
    </row>
    <row r="21" spans="1:9" ht="22.5" thickTop="1" thickBot="1" x14ac:dyDescent="0.4">
      <c r="A21" s="27" t="s">
        <v>59</v>
      </c>
      <c r="B21" s="28"/>
      <c r="C21" s="28"/>
      <c r="D21" s="28"/>
      <c r="E21" s="28"/>
      <c r="F21" s="26">
        <v>400</v>
      </c>
      <c r="G21" s="26"/>
      <c r="H21" s="26"/>
      <c r="I21" s="26"/>
    </row>
    <row r="22" spans="1:9" ht="21" thickTop="1" thickBot="1" x14ac:dyDescent="0.35">
      <c r="A22" s="17" t="s">
        <v>43</v>
      </c>
      <c r="B22" s="17" t="s">
        <v>44</v>
      </c>
      <c r="C22" s="17" t="s">
        <v>12</v>
      </c>
      <c r="D22" s="17" t="s">
        <v>13</v>
      </c>
      <c r="E22" s="17" t="s">
        <v>28</v>
      </c>
      <c r="F22" s="17" t="s">
        <v>15</v>
      </c>
      <c r="G22" s="17" t="s">
        <v>16</v>
      </c>
      <c r="H22" s="17" t="s">
        <v>60</v>
      </c>
      <c r="I22" s="17" t="s">
        <v>60</v>
      </c>
    </row>
    <row r="23" spans="1:9" ht="18" thickTop="1" thickBot="1" x14ac:dyDescent="0.35">
      <c r="A23" s="2">
        <v>1</v>
      </c>
      <c r="B23" s="2" t="s">
        <v>29</v>
      </c>
      <c r="C23" s="2">
        <v>41</v>
      </c>
      <c r="D23" s="2">
        <v>39</v>
      </c>
      <c r="E23" s="2">
        <v>75</v>
      </c>
      <c r="F23" s="2">
        <v>34</v>
      </c>
      <c r="G23" s="18">
        <f>SUM(C23:F23)</f>
        <v>189</v>
      </c>
      <c r="H23" s="19">
        <f t="shared" ref="H23:H37" si="1">G23/$F$21*100</f>
        <v>47.25</v>
      </c>
      <c r="I23" s="19">
        <f>G23/$F$21*100</f>
        <v>47.25</v>
      </c>
    </row>
    <row r="24" spans="1:9" ht="18" thickTop="1" thickBot="1" x14ac:dyDescent="0.35">
      <c r="A24" s="2">
        <v>2</v>
      </c>
      <c r="B24" s="2" t="s">
        <v>45</v>
      </c>
      <c r="C24" s="2">
        <v>67</v>
      </c>
      <c r="D24" s="2">
        <v>57</v>
      </c>
      <c r="E24" s="2">
        <v>73</v>
      </c>
      <c r="F24" s="2">
        <v>47</v>
      </c>
      <c r="G24" s="18">
        <f t="shared" ref="G24:G37" si="2">SUM(C24:F24)</f>
        <v>244</v>
      </c>
      <c r="H24" s="19">
        <f t="shared" si="1"/>
        <v>61</v>
      </c>
      <c r="I24" s="19">
        <f t="shared" ref="I24:I37" si="3">G24/$F$21*100</f>
        <v>61</v>
      </c>
    </row>
    <row r="25" spans="1:9" ht="18" thickTop="1" thickBot="1" x14ac:dyDescent="0.35">
      <c r="A25" s="2">
        <v>3</v>
      </c>
      <c r="B25" s="2" t="s">
        <v>46</v>
      </c>
      <c r="C25" s="2">
        <v>22</v>
      </c>
      <c r="D25" s="2">
        <v>77</v>
      </c>
      <c r="E25" s="2">
        <v>29</v>
      </c>
      <c r="F25" s="2">
        <v>93</v>
      </c>
      <c r="G25" s="18">
        <f t="shared" si="2"/>
        <v>221</v>
      </c>
      <c r="H25" s="19">
        <f t="shared" si="1"/>
        <v>55.25</v>
      </c>
      <c r="I25" s="19">
        <f t="shared" si="3"/>
        <v>55.25</v>
      </c>
    </row>
    <row r="26" spans="1:9" ht="18" thickTop="1" thickBot="1" x14ac:dyDescent="0.35">
      <c r="A26" s="2">
        <v>4</v>
      </c>
      <c r="B26" s="2" t="s">
        <v>47</v>
      </c>
      <c r="C26" s="2">
        <v>58</v>
      </c>
      <c r="D26" s="2">
        <v>80</v>
      </c>
      <c r="E26" s="2">
        <v>28</v>
      </c>
      <c r="F26" s="2">
        <v>92</v>
      </c>
      <c r="G26" s="18">
        <f t="shared" si="2"/>
        <v>258</v>
      </c>
      <c r="H26" s="19">
        <f t="shared" si="1"/>
        <v>64.5</v>
      </c>
      <c r="I26" s="19">
        <f t="shared" si="3"/>
        <v>64.5</v>
      </c>
    </row>
    <row r="27" spans="1:9" ht="18" thickTop="1" thickBot="1" x14ac:dyDescent="0.35">
      <c r="A27" s="2">
        <v>5</v>
      </c>
      <c r="B27" s="2" t="s">
        <v>48</v>
      </c>
      <c r="C27" s="2">
        <v>89</v>
      </c>
      <c r="D27" s="2">
        <v>69</v>
      </c>
      <c r="E27" s="2">
        <v>92</v>
      </c>
      <c r="F27" s="2">
        <v>25</v>
      </c>
      <c r="G27" s="18">
        <f t="shared" si="2"/>
        <v>275</v>
      </c>
      <c r="H27" s="19">
        <f t="shared" si="1"/>
        <v>68.75</v>
      </c>
      <c r="I27" s="19">
        <f t="shared" si="3"/>
        <v>68.75</v>
      </c>
    </row>
    <row r="28" spans="1:9" ht="18" thickTop="1" thickBot="1" x14ac:dyDescent="0.35">
      <c r="A28" s="2">
        <v>6</v>
      </c>
      <c r="B28" s="2" t="s">
        <v>49</v>
      </c>
      <c r="C28" s="2">
        <v>43</v>
      </c>
      <c r="D28" s="2">
        <v>20</v>
      </c>
      <c r="E28" s="2">
        <v>66</v>
      </c>
      <c r="F28" s="2">
        <v>50</v>
      </c>
      <c r="G28" s="18">
        <f t="shared" si="2"/>
        <v>179</v>
      </c>
      <c r="H28" s="19">
        <f t="shared" si="1"/>
        <v>44.75</v>
      </c>
      <c r="I28" s="19">
        <f t="shared" si="3"/>
        <v>44.75</v>
      </c>
    </row>
    <row r="29" spans="1:9" ht="18" thickTop="1" thickBot="1" x14ac:dyDescent="0.35">
      <c r="A29" s="2">
        <v>7</v>
      </c>
      <c r="B29" s="2" t="s">
        <v>50</v>
      </c>
      <c r="C29" s="2">
        <v>21</v>
      </c>
      <c r="D29" s="2">
        <v>27</v>
      </c>
      <c r="E29" s="2">
        <v>70</v>
      </c>
      <c r="F29" s="2">
        <v>53</v>
      </c>
      <c r="G29" s="18">
        <f t="shared" si="2"/>
        <v>171</v>
      </c>
      <c r="H29" s="19">
        <f t="shared" si="1"/>
        <v>42.75</v>
      </c>
      <c r="I29" s="19">
        <f t="shared" si="3"/>
        <v>42.75</v>
      </c>
    </row>
    <row r="30" spans="1:9" ht="18" thickTop="1" thickBot="1" x14ac:dyDescent="0.35">
      <c r="A30" s="2">
        <v>8</v>
      </c>
      <c r="B30" s="2" t="s">
        <v>51</v>
      </c>
      <c r="C30" s="2">
        <v>21</v>
      </c>
      <c r="D30" s="2">
        <v>35</v>
      </c>
      <c r="E30" s="2">
        <v>36</v>
      </c>
      <c r="F30" s="2">
        <v>41</v>
      </c>
      <c r="G30" s="18">
        <f t="shared" si="2"/>
        <v>133</v>
      </c>
      <c r="H30" s="19">
        <f t="shared" si="1"/>
        <v>33.25</v>
      </c>
      <c r="I30" s="19">
        <f t="shared" si="3"/>
        <v>33.25</v>
      </c>
    </row>
    <row r="31" spans="1:9" ht="18" thickTop="1" thickBot="1" x14ac:dyDescent="0.35">
      <c r="A31" s="2">
        <v>9</v>
      </c>
      <c r="B31" s="2" t="s">
        <v>52</v>
      </c>
      <c r="C31" s="2">
        <v>61</v>
      </c>
      <c r="D31" s="2">
        <v>19</v>
      </c>
      <c r="E31" s="2">
        <v>25</v>
      </c>
      <c r="F31" s="2">
        <v>73</v>
      </c>
      <c r="G31" s="18">
        <f t="shared" si="2"/>
        <v>178</v>
      </c>
      <c r="H31" s="19">
        <f t="shared" si="1"/>
        <v>44.5</v>
      </c>
      <c r="I31" s="19">
        <f t="shared" si="3"/>
        <v>44.5</v>
      </c>
    </row>
    <row r="32" spans="1:9" ht="18" thickTop="1" thickBot="1" x14ac:dyDescent="0.35">
      <c r="A32" s="2">
        <v>10</v>
      </c>
      <c r="B32" s="2" t="s">
        <v>53</v>
      </c>
      <c r="C32" s="2">
        <v>69</v>
      </c>
      <c r="D32" s="2">
        <v>32</v>
      </c>
      <c r="E32" s="2">
        <v>59</v>
      </c>
      <c r="F32" s="2">
        <v>41</v>
      </c>
      <c r="G32" s="18">
        <f t="shared" si="2"/>
        <v>201</v>
      </c>
      <c r="H32" s="19">
        <f t="shared" si="1"/>
        <v>50.249999999999993</v>
      </c>
      <c r="I32" s="19">
        <f t="shared" si="3"/>
        <v>50.249999999999993</v>
      </c>
    </row>
    <row r="33" spans="1:12" ht="18" thickTop="1" thickBot="1" x14ac:dyDescent="0.35">
      <c r="A33" s="2">
        <v>11</v>
      </c>
      <c r="B33" s="2" t="s">
        <v>54</v>
      </c>
      <c r="C33" s="2">
        <v>27</v>
      </c>
      <c r="D33" s="2">
        <v>75</v>
      </c>
      <c r="E33" s="2">
        <v>68</v>
      </c>
      <c r="F33" s="2">
        <v>79</v>
      </c>
      <c r="G33" s="18">
        <f t="shared" si="2"/>
        <v>249</v>
      </c>
      <c r="H33" s="19">
        <f t="shared" si="1"/>
        <v>62.250000000000007</v>
      </c>
      <c r="I33" s="19">
        <f t="shared" si="3"/>
        <v>62.250000000000007</v>
      </c>
    </row>
    <row r="34" spans="1:12" ht="18" thickTop="1" thickBot="1" x14ac:dyDescent="0.35">
      <c r="A34" s="2">
        <v>12</v>
      </c>
      <c r="B34" s="2" t="s">
        <v>55</v>
      </c>
      <c r="C34" s="2">
        <v>76</v>
      </c>
      <c r="D34" s="2">
        <v>54</v>
      </c>
      <c r="E34" s="2">
        <v>40</v>
      </c>
      <c r="F34" s="2">
        <v>30</v>
      </c>
      <c r="G34" s="18">
        <f t="shared" si="2"/>
        <v>200</v>
      </c>
      <c r="H34" s="19">
        <f t="shared" si="1"/>
        <v>50</v>
      </c>
      <c r="I34" s="19">
        <f t="shared" si="3"/>
        <v>50</v>
      </c>
    </row>
    <row r="35" spans="1:12" ht="18" thickTop="1" thickBot="1" x14ac:dyDescent="0.35">
      <c r="A35" s="2">
        <v>13</v>
      </c>
      <c r="B35" s="2" t="s">
        <v>56</v>
      </c>
      <c r="C35" s="2">
        <v>29</v>
      </c>
      <c r="D35" s="2">
        <v>15</v>
      </c>
      <c r="E35" s="2">
        <v>81</v>
      </c>
      <c r="F35" s="2">
        <v>56</v>
      </c>
      <c r="G35" s="18">
        <f t="shared" si="2"/>
        <v>181</v>
      </c>
      <c r="H35" s="19">
        <f t="shared" si="1"/>
        <v>45.25</v>
      </c>
      <c r="I35" s="19">
        <f t="shared" si="3"/>
        <v>45.25</v>
      </c>
    </row>
    <row r="36" spans="1:12" ht="18" thickTop="1" thickBot="1" x14ac:dyDescent="0.35">
      <c r="A36" s="2">
        <v>14</v>
      </c>
      <c r="B36" s="2" t="s">
        <v>57</v>
      </c>
      <c r="C36" s="2">
        <v>62</v>
      </c>
      <c r="D36" s="2">
        <v>21</v>
      </c>
      <c r="E36" s="2">
        <v>67</v>
      </c>
      <c r="F36" s="2">
        <v>88</v>
      </c>
      <c r="G36" s="18">
        <f t="shared" si="2"/>
        <v>238</v>
      </c>
      <c r="H36" s="19">
        <f t="shared" si="1"/>
        <v>59.5</v>
      </c>
      <c r="I36" s="19">
        <f t="shared" si="3"/>
        <v>59.5</v>
      </c>
    </row>
    <row r="37" spans="1:12" ht="18" thickTop="1" thickBot="1" x14ac:dyDescent="0.35">
      <c r="A37" s="2">
        <v>15</v>
      </c>
      <c r="B37" s="2" t="s">
        <v>58</v>
      </c>
      <c r="C37" s="2">
        <v>15</v>
      </c>
      <c r="D37" s="2">
        <v>95</v>
      </c>
      <c r="E37" s="2">
        <v>29</v>
      </c>
      <c r="F37" s="2">
        <v>64</v>
      </c>
      <c r="G37" s="18">
        <f t="shared" si="2"/>
        <v>203</v>
      </c>
      <c r="H37" s="19">
        <f t="shared" si="1"/>
        <v>50.749999999999993</v>
      </c>
      <c r="I37" s="19">
        <f t="shared" si="3"/>
        <v>50.749999999999993</v>
      </c>
    </row>
    <row r="38" spans="1:12" ht="17.25" thickTop="1" x14ac:dyDescent="0.3"/>
    <row r="39" spans="1:12" ht="17.25" thickBot="1" x14ac:dyDescent="0.35"/>
    <row r="40" spans="1:12" ht="29.25" thickTop="1" thickBot="1" x14ac:dyDescent="0.5">
      <c r="A40" s="30" t="s">
        <v>66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ht="22.5" thickTop="1" thickBot="1" x14ac:dyDescent="0.4">
      <c r="A41" s="27" t="s">
        <v>59</v>
      </c>
      <c r="B41" s="28"/>
      <c r="C41" s="28"/>
      <c r="D41" s="28"/>
      <c r="E41" s="28"/>
      <c r="F41" s="26">
        <v>400</v>
      </c>
      <c r="G41" s="26"/>
      <c r="H41" s="26"/>
      <c r="I41" s="26"/>
      <c r="J41" s="26"/>
      <c r="K41" s="26"/>
      <c r="L41" s="26"/>
    </row>
    <row r="42" spans="1:12" ht="21" thickTop="1" thickBot="1" x14ac:dyDescent="0.35">
      <c r="A42" s="17" t="s">
        <v>43</v>
      </c>
      <c r="B42" s="17" t="s">
        <v>44</v>
      </c>
      <c r="C42" s="17" t="s">
        <v>12</v>
      </c>
      <c r="D42" s="17" t="s">
        <v>13</v>
      </c>
      <c r="E42" s="17" t="s">
        <v>28</v>
      </c>
      <c r="F42" s="17" t="s">
        <v>15</v>
      </c>
      <c r="G42" s="17" t="s">
        <v>16</v>
      </c>
      <c r="H42" s="17" t="s">
        <v>60</v>
      </c>
      <c r="I42" s="17" t="s">
        <v>61</v>
      </c>
      <c r="J42" s="17" t="s">
        <v>62</v>
      </c>
      <c r="K42" s="17" t="s">
        <v>63</v>
      </c>
      <c r="L42" s="17" t="s">
        <v>64</v>
      </c>
    </row>
    <row r="43" spans="1:12" ht="18" thickTop="1" thickBot="1" x14ac:dyDescent="0.35">
      <c r="A43" s="2">
        <v>1</v>
      </c>
      <c r="B43" s="2" t="s">
        <v>29</v>
      </c>
      <c r="C43" s="2">
        <v>41</v>
      </c>
      <c r="D43" s="2">
        <v>39</v>
      </c>
      <c r="E43" s="2">
        <v>75</v>
      </c>
      <c r="F43" s="2">
        <v>34</v>
      </c>
      <c r="G43" s="18">
        <v>189</v>
      </c>
      <c r="H43" s="19">
        <f t="shared" ref="H43:H55" si="4">G43/$F$41*100</f>
        <v>47.25</v>
      </c>
      <c r="I43" s="19">
        <f>C43/$G43*100</f>
        <v>21.693121693121693</v>
      </c>
      <c r="J43" s="19">
        <f>D43/$G43*100</f>
        <v>20.634920634920633</v>
      </c>
      <c r="K43" s="19">
        <f>E43/$G43*100</f>
        <v>39.682539682539684</v>
      </c>
      <c r="L43" s="19">
        <f>F43/$G43*100</f>
        <v>17.989417989417987</v>
      </c>
    </row>
    <row r="44" spans="1:12" ht="18" thickTop="1" thickBot="1" x14ac:dyDescent="0.35">
      <c r="A44" s="2">
        <v>2</v>
      </c>
      <c r="B44" s="2" t="s">
        <v>45</v>
      </c>
      <c r="C44" s="2">
        <v>67</v>
      </c>
      <c r="D44" s="2">
        <v>57</v>
      </c>
      <c r="E44" s="2">
        <v>73</v>
      </c>
      <c r="F44" s="2">
        <v>47</v>
      </c>
      <c r="G44" s="18">
        <v>244</v>
      </c>
      <c r="H44" s="19">
        <f t="shared" si="4"/>
        <v>61</v>
      </c>
      <c r="I44" s="19">
        <f t="shared" ref="I44:I55" si="5">C44/$G44*100</f>
        <v>27.459016393442624</v>
      </c>
      <c r="J44" s="19">
        <f t="shared" ref="J44:J55" si="6">D44/$G44*100</f>
        <v>23.360655737704921</v>
      </c>
      <c r="K44" s="19">
        <f t="shared" ref="K44:K55" si="7">E44/$G44*100</f>
        <v>29.918032786885245</v>
      </c>
      <c r="L44" s="19">
        <f t="shared" ref="L44:L55" si="8">F44/$G44*100</f>
        <v>19.262295081967213</v>
      </c>
    </row>
    <row r="45" spans="1:12" ht="18" thickTop="1" thickBot="1" x14ac:dyDescent="0.35">
      <c r="A45" s="2">
        <v>3</v>
      </c>
      <c r="B45" s="2" t="s">
        <v>46</v>
      </c>
      <c r="C45" s="2">
        <v>22</v>
      </c>
      <c r="D45" s="2">
        <v>77</v>
      </c>
      <c r="E45" s="2">
        <v>29</v>
      </c>
      <c r="F45" s="2">
        <v>93</v>
      </c>
      <c r="G45" s="18">
        <v>221</v>
      </c>
      <c r="H45" s="19">
        <f t="shared" si="4"/>
        <v>55.25</v>
      </c>
      <c r="I45" s="19">
        <f t="shared" si="5"/>
        <v>9.9547511312217196</v>
      </c>
      <c r="J45" s="19">
        <f t="shared" si="6"/>
        <v>34.841628959276015</v>
      </c>
      <c r="K45" s="19">
        <f t="shared" si="7"/>
        <v>13.122171945701359</v>
      </c>
      <c r="L45" s="19">
        <f t="shared" si="8"/>
        <v>42.081447963800905</v>
      </c>
    </row>
    <row r="46" spans="1:12" ht="18" thickTop="1" thickBot="1" x14ac:dyDescent="0.35">
      <c r="A46" s="2">
        <v>4</v>
      </c>
      <c r="B46" s="2" t="s">
        <v>47</v>
      </c>
      <c r="C46" s="2">
        <v>58</v>
      </c>
      <c r="D46" s="2">
        <v>80</v>
      </c>
      <c r="E46" s="2">
        <v>28</v>
      </c>
      <c r="F46" s="2">
        <v>92</v>
      </c>
      <c r="G46" s="18">
        <v>258</v>
      </c>
      <c r="H46" s="19">
        <f t="shared" si="4"/>
        <v>64.5</v>
      </c>
      <c r="I46" s="19">
        <f t="shared" si="5"/>
        <v>22.480620155038761</v>
      </c>
      <c r="J46" s="19">
        <f t="shared" si="6"/>
        <v>31.007751937984494</v>
      </c>
      <c r="K46" s="19">
        <f t="shared" si="7"/>
        <v>10.852713178294573</v>
      </c>
      <c r="L46" s="19">
        <f t="shared" si="8"/>
        <v>35.65891472868217</v>
      </c>
    </row>
    <row r="47" spans="1:12" ht="18" thickTop="1" thickBot="1" x14ac:dyDescent="0.35">
      <c r="A47" s="2">
        <v>5</v>
      </c>
      <c r="B47" s="2" t="s">
        <v>48</v>
      </c>
      <c r="C47" s="2">
        <v>89</v>
      </c>
      <c r="D47" s="2">
        <v>69</v>
      </c>
      <c r="E47" s="2">
        <v>92</v>
      </c>
      <c r="F47" s="2">
        <v>25</v>
      </c>
      <c r="G47" s="18">
        <v>275</v>
      </c>
      <c r="H47" s="19">
        <f t="shared" si="4"/>
        <v>68.75</v>
      </c>
      <c r="I47" s="19">
        <f t="shared" si="5"/>
        <v>32.36363636363636</v>
      </c>
      <c r="J47" s="19">
        <f t="shared" si="6"/>
        <v>25.09090909090909</v>
      </c>
      <c r="K47" s="19">
        <f t="shared" si="7"/>
        <v>33.454545454545453</v>
      </c>
      <c r="L47" s="19">
        <f t="shared" si="8"/>
        <v>9.0909090909090917</v>
      </c>
    </row>
    <row r="48" spans="1:12" ht="18" thickTop="1" thickBot="1" x14ac:dyDescent="0.35">
      <c r="A48" s="2">
        <v>6</v>
      </c>
      <c r="B48" s="2" t="s">
        <v>49</v>
      </c>
      <c r="C48" s="2">
        <v>43</v>
      </c>
      <c r="D48" s="2">
        <v>20</v>
      </c>
      <c r="E48" s="2">
        <v>66</v>
      </c>
      <c r="F48" s="2">
        <v>50</v>
      </c>
      <c r="G48" s="18">
        <v>179</v>
      </c>
      <c r="H48" s="19">
        <f t="shared" si="4"/>
        <v>44.75</v>
      </c>
      <c r="I48" s="19">
        <f t="shared" si="5"/>
        <v>24.022346368715084</v>
      </c>
      <c r="J48" s="19">
        <f t="shared" si="6"/>
        <v>11.173184357541899</v>
      </c>
      <c r="K48" s="19">
        <f t="shared" si="7"/>
        <v>36.871508379888269</v>
      </c>
      <c r="L48" s="19">
        <f t="shared" si="8"/>
        <v>27.932960893854748</v>
      </c>
    </row>
    <row r="49" spans="1:15" ht="18" thickTop="1" thickBot="1" x14ac:dyDescent="0.35">
      <c r="A49" s="2">
        <v>7</v>
      </c>
      <c r="B49" s="2" t="s">
        <v>50</v>
      </c>
      <c r="C49" s="2">
        <v>21</v>
      </c>
      <c r="D49" s="2">
        <v>27</v>
      </c>
      <c r="E49" s="2">
        <v>70</v>
      </c>
      <c r="F49" s="2">
        <v>53</v>
      </c>
      <c r="G49" s="18">
        <v>171</v>
      </c>
      <c r="H49" s="19">
        <f t="shared" si="4"/>
        <v>42.75</v>
      </c>
      <c r="I49" s="19">
        <f t="shared" si="5"/>
        <v>12.280701754385964</v>
      </c>
      <c r="J49" s="19">
        <f t="shared" si="6"/>
        <v>15.789473684210526</v>
      </c>
      <c r="K49" s="19">
        <f t="shared" si="7"/>
        <v>40.935672514619881</v>
      </c>
      <c r="L49" s="19">
        <f t="shared" si="8"/>
        <v>30.994152046783626</v>
      </c>
    </row>
    <row r="50" spans="1:15" ht="18" thickTop="1" thickBot="1" x14ac:dyDescent="0.35">
      <c r="A50" s="2">
        <v>8</v>
      </c>
      <c r="B50" s="2" t="s">
        <v>51</v>
      </c>
      <c r="C50" s="2">
        <v>21</v>
      </c>
      <c r="D50" s="2">
        <v>35</v>
      </c>
      <c r="E50" s="2">
        <v>36</v>
      </c>
      <c r="F50" s="2">
        <v>41</v>
      </c>
      <c r="G50" s="18">
        <v>133</v>
      </c>
      <c r="H50" s="19">
        <f t="shared" si="4"/>
        <v>33.25</v>
      </c>
      <c r="I50" s="19">
        <f t="shared" si="5"/>
        <v>15.789473684210526</v>
      </c>
      <c r="J50" s="19">
        <f t="shared" si="6"/>
        <v>26.315789473684209</v>
      </c>
      <c r="K50" s="19">
        <f t="shared" si="7"/>
        <v>27.06766917293233</v>
      </c>
      <c r="L50" s="19">
        <f t="shared" si="8"/>
        <v>30.82706766917293</v>
      </c>
    </row>
    <row r="51" spans="1:15" ht="18" thickTop="1" thickBot="1" x14ac:dyDescent="0.35">
      <c r="A51" s="2">
        <v>9</v>
      </c>
      <c r="B51" s="2" t="s">
        <v>52</v>
      </c>
      <c r="C51" s="2">
        <v>61</v>
      </c>
      <c r="D51" s="2">
        <v>19</v>
      </c>
      <c r="E51" s="2">
        <v>25</v>
      </c>
      <c r="F51" s="2">
        <v>73</v>
      </c>
      <c r="G51" s="18">
        <v>178</v>
      </c>
      <c r="H51" s="19">
        <f t="shared" si="4"/>
        <v>44.5</v>
      </c>
      <c r="I51" s="19">
        <f t="shared" si="5"/>
        <v>34.269662921348313</v>
      </c>
      <c r="J51" s="19">
        <f t="shared" si="6"/>
        <v>10.674157303370785</v>
      </c>
      <c r="K51" s="19">
        <f t="shared" si="7"/>
        <v>14.04494382022472</v>
      </c>
      <c r="L51" s="19">
        <f t="shared" si="8"/>
        <v>41.011235955056179</v>
      </c>
    </row>
    <row r="52" spans="1:15" ht="18" thickTop="1" thickBot="1" x14ac:dyDescent="0.35">
      <c r="A52" s="2">
        <v>10</v>
      </c>
      <c r="B52" s="2" t="s">
        <v>53</v>
      </c>
      <c r="C52" s="2">
        <v>69</v>
      </c>
      <c r="D52" s="2">
        <v>32</v>
      </c>
      <c r="E52" s="2">
        <v>59</v>
      </c>
      <c r="F52" s="2">
        <v>41</v>
      </c>
      <c r="G52" s="18">
        <v>201</v>
      </c>
      <c r="H52" s="19">
        <f t="shared" si="4"/>
        <v>50.249999999999993</v>
      </c>
      <c r="I52" s="19">
        <f t="shared" si="5"/>
        <v>34.328358208955223</v>
      </c>
      <c r="J52" s="19">
        <f t="shared" si="6"/>
        <v>15.920398009950249</v>
      </c>
      <c r="K52" s="19">
        <f t="shared" si="7"/>
        <v>29.35323383084577</v>
      </c>
      <c r="L52" s="19">
        <f t="shared" si="8"/>
        <v>20.398009950248756</v>
      </c>
    </row>
    <row r="53" spans="1:15" ht="18" thickTop="1" thickBot="1" x14ac:dyDescent="0.35">
      <c r="A53" s="2">
        <v>11</v>
      </c>
      <c r="B53" s="2" t="s">
        <v>54</v>
      </c>
      <c r="C53" s="2">
        <v>27</v>
      </c>
      <c r="D53" s="2">
        <v>75</v>
      </c>
      <c r="E53" s="2">
        <v>68</v>
      </c>
      <c r="F53" s="2">
        <v>79</v>
      </c>
      <c r="G53" s="18">
        <v>249</v>
      </c>
      <c r="H53" s="19">
        <f t="shared" si="4"/>
        <v>62.250000000000007</v>
      </c>
      <c r="I53" s="19">
        <f t="shared" si="5"/>
        <v>10.843373493975903</v>
      </c>
      <c r="J53" s="19">
        <f t="shared" si="6"/>
        <v>30.120481927710845</v>
      </c>
      <c r="K53" s="19">
        <f t="shared" si="7"/>
        <v>27.309236947791167</v>
      </c>
      <c r="L53" s="19">
        <f t="shared" si="8"/>
        <v>31.726907630522089</v>
      </c>
    </row>
    <row r="54" spans="1:15" ht="22.5" thickTop="1" thickBot="1" x14ac:dyDescent="0.4">
      <c r="A54" s="2">
        <v>12</v>
      </c>
      <c r="B54" s="2" t="s">
        <v>55</v>
      </c>
      <c r="C54" s="2">
        <v>76</v>
      </c>
      <c r="D54" s="2">
        <v>54</v>
      </c>
      <c r="E54" s="2">
        <v>40</v>
      </c>
      <c r="F54" s="2">
        <v>30</v>
      </c>
      <c r="G54" s="18">
        <v>200</v>
      </c>
      <c r="H54" s="19">
        <f t="shared" si="4"/>
        <v>50</v>
      </c>
      <c r="I54" s="19">
        <f t="shared" si="5"/>
        <v>38</v>
      </c>
      <c r="J54" s="19">
        <f t="shared" si="6"/>
        <v>27</v>
      </c>
      <c r="K54" s="19">
        <f t="shared" si="7"/>
        <v>20</v>
      </c>
      <c r="L54" s="19">
        <f t="shared" si="8"/>
        <v>15</v>
      </c>
      <c r="N54" s="16"/>
    </row>
    <row r="55" spans="1:15" ht="18" thickTop="1" thickBot="1" x14ac:dyDescent="0.35">
      <c r="A55" s="2">
        <v>13</v>
      </c>
      <c r="B55" s="2" t="s">
        <v>56</v>
      </c>
      <c r="C55" s="2">
        <v>29</v>
      </c>
      <c r="D55" s="2">
        <v>15</v>
      </c>
      <c r="E55" s="2">
        <v>81</v>
      </c>
      <c r="F55" s="2">
        <v>56</v>
      </c>
      <c r="G55" s="18">
        <v>181</v>
      </c>
      <c r="H55" s="19">
        <f t="shared" si="4"/>
        <v>45.25</v>
      </c>
      <c r="I55" s="19">
        <f t="shared" si="5"/>
        <v>16.022099447513813</v>
      </c>
      <c r="J55" s="19">
        <f t="shared" si="6"/>
        <v>8.2872928176795568</v>
      </c>
      <c r="K55" s="19">
        <f t="shared" si="7"/>
        <v>44.751381215469614</v>
      </c>
      <c r="L55" s="19">
        <f t="shared" si="8"/>
        <v>30.939226519337016</v>
      </c>
    </row>
    <row r="56" spans="1:15" ht="17.25" thickTop="1" x14ac:dyDescent="0.3"/>
    <row r="57" spans="1:15" ht="17.25" thickBot="1" x14ac:dyDescent="0.35"/>
    <row r="58" spans="1:15" ht="29.25" thickTop="1" thickBot="1" x14ac:dyDescent="0.35">
      <c r="A58" s="29" t="s">
        <v>67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spans="1:15" ht="18.75" customHeight="1" thickTop="1" thickBot="1" x14ac:dyDescent="0.35">
      <c r="A59" s="32" t="s">
        <v>69</v>
      </c>
      <c r="B59" s="17" t="s">
        <v>43</v>
      </c>
      <c r="C59" s="20">
        <v>1</v>
      </c>
      <c r="D59" s="20">
        <v>2</v>
      </c>
      <c r="E59" s="20">
        <v>3</v>
      </c>
      <c r="F59" s="20">
        <v>4</v>
      </c>
      <c r="G59" s="20">
        <v>5</v>
      </c>
      <c r="H59" s="20">
        <v>6</v>
      </c>
      <c r="I59" s="20">
        <v>7</v>
      </c>
      <c r="J59" s="20">
        <v>8</v>
      </c>
      <c r="K59" s="20">
        <v>9</v>
      </c>
      <c r="L59" s="20">
        <v>10</v>
      </c>
      <c r="M59" s="20">
        <v>11</v>
      </c>
      <c r="N59" s="20">
        <v>12</v>
      </c>
      <c r="O59" s="2">
        <v>13</v>
      </c>
    </row>
    <row r="60" spans="1:15" ht="34.5" thickTop="1" thickBot="1" x14ac:dyDescent="0.35">
      <c r="A60" s="32"/>
      <c r="B60" s="17" t="s">
        <v>44</v>
      </c>
      <c r="C60" s="34" t="s">
        <v>70</v>
      </c>
      <c r="D60" s="34" t="s">
        <v>71</v>
      </c>
      <c r="E60" s="34" t="s">
        <v>72</v>
      </c>
      <c r="F60" s="34" t="s">
        <v>73</v>
      </c>
      <c r="G60" s="34" t="s">
        <v>74</v>
      </c>
      <c r="H60" s="34" t="s">
        <v>75</v>
      </c>
      <c r="I60" s="34" t="s">
        <v>76</v>
      </c>
      <c r="J60" s="34" t="s">
        <v>77</v>
      </c>
      <c r="K60" s="34" t="s">
        <v>78</v>
      </c>
      <c r="L60" s="34" t="s">
        <v>79</v>
      </c>
      <c r="M60" s="34" t="s">
        <v>80</v>
      </c>
      <c r="N60" s="34" t="s">
        <v>55</v>
      </c>
      <c r="O60" s="34" t="s">
        <v>56</v>
      </c>
    </row>
    <row r="61" spans="1:15" ht="21" thickTop="1" thickBot="1" x14ac:dyDescent="0.35">
      <c r="A61" s="32"/>
      <c r="B61" s="17" t="s">
        <v>12</v>
      </c>
      <c r="C61" s="2">
        <v>41</v>
      </c>
      <c r="D61" s="2">
        <v>67</v>
      </c>
      <c r="E61" s="2">
        <v>22</v>
      </c>
      <c r="F61" s="2">
        <v>58</v>
      </c>
      <c r="G61" s="2">
        <v>89</v>
      </c>
      <c r="H61" s="2">
        <v>43</v>
      </c>
      <c r="I61" s="2">
        <v>21</v>
      </c>
      <c r="J61" s="2">
        <v>21</v>
      </c>
      <c r="K61" s="2">
        <v>61</v>
      </c>
      <c r="L61" s="2">
        <v>69</v>
      </c>
      <c r="M61" s="2">
        <v>27</v>
      </c>
      <c r="N61" s="2">
        <v>76</v>
      </c>
      <c r="O61" s="2">
        <v>29</v>
      </c>
    </row>
    <row r="62" spans="1:15" ht="21" thickTop="1" thickBot="1" x14ac:dyDescent="0.35">
      <c r="A62" s="32"/>
      <c r="B62" s="17" t="s">
        <v>13</v>
      </c>
      <c r="C62" s="2">
        <v>39</v>
      </c>
      <c r="D62" s="2">
        <v>57</v>
      </c>
      <c r="E62" s="2">
        <v>77</v>
      </c>
      <c r="F62" s="2">
        <v>80</v>
      </c>
      <c r="G62" s="2">
        <v>69</v>
      </c>
      <c r="H62" s="2">
        <v>20</v>
      </c>
      <c r="I62" s="2">
        <v>27</v>
      </c>
      <c r="J62" s="2">
        <v>35</v>
      </c>
      <c r="K62" s="2">
        <v>19</v>
      </c>
      <c r="L62" s="2">
        <v>32</v>
      </c>
      <c r="M62" s="2">
        <v>75</v>
      </c>
      <c r="N62" s="2">
        <v>54</v>
      </c>
      <c r="O62" s="2">
        <v>15</v>
      </c>
    </row>
    <row r="63" spans="1:15" ht="21" thickTop="1" thickBot="1" x14ac:dyDescent="0.35">
      <c r="A63" s="32"/>
      <c r="B63" s="17" t="s">
        <v>28</v>
      </c>
      <c r="C63" s="2">
        <v>75</v>
      </c>
      <c r="D63" s="2">
        <v>73</v>
      </c>
      <c r="E63" s="2">
        <v>29</v>
      </c>
      <c r="F63" s="2">
        <v>28</v>
      </c>
      <c r="G63" s="2">
        <v>92</v>
      </c>
      <c r="H63" s="2">
        <v>66</v>
      </c>
      <c r="I63" s="2">
        <v>70</v>
      </c>
      <c r="J63" s="2">
        <v>36</v>
      </c>
      <c r="K63" s="2">
        <v>25</v>
      </c>
      <c r="L63" s="2">
        <v>59</v>
      </c>
      <c r="M63" s="2">
        <v>68</v>
      </c>
      <c r="N63" s="2">
        <v>40</v>
      </c>
      <c r="O63" s="2">
        <v>81</v>
      </c>
    </row>
    <row r="64" spans="1:15" ht="21" thickTop="1" thickBot="1" x14ac:dyDescent="0.35">
      <c r="A64" s="33">
        <v>400</v>
      </c>
      <c r="B64" s="17" t="s">
        <v>15</v>
      </c>
      <c r="C64" s="2">
        <v>34</v>
      </c>
      <c r="D64" s="2">
        <v>47</v>
      </c>
      <c r="E64" s="2">
        <v>93</v>
      </c>
      <c r="F64" s="2">
        <v>92</v>
      </c>
      <c r="G64" s="2">
        <v>25</v>
      </c>
      <c r="H64" s="2">
        <v>50</v>
      </c>
      <c r="I64" s="2">
        <v>53</v>
      </c>
      <c r="J64" s="2">
        <v>41</v>
      </c>
      <c r="K64" s="2">
        <v>73</v>
      </c>
      <c r="L64" s="2">
        <v>41</v>
      </c>
      <c r="M64" s="2">
        <v>79</v>
      </c>
      <c r="N64" s="2">
        <v>30</v>
      </c>
      <c r="O64" s="2">
        <v>56</v>
      </c>
    </row>
    <row r="65" spans="1:15" ht="21" thickTop="1" thickBot="1" x14ac:dyDescent="0.35">
      <c r="A65" s="33"/>
      <c r="B65" s="17" t="s">
        <v>16</v>
      </c>
      <c r="C65" s="18">
        <v>189</v>
      </c>
      <c r="D65" s="18">
        <v>244</v>
      </c>
      <c r="E65" s="18">
        <v>221</v>
      </c>
      <c r="F65" s="18">
        <v>258</v>
      </c>
      <c r="G65" s="18">
        <v>275</v>
      </c>
      <c r="H65" s="18">
        <v>179</v>
      </c>
      <c r="I65" s="18">
        <v>171</v>
      </c>
      <c r="J65" s="18">
        <v>133</v>
      </c>
      <c r="K65" s="18">
        <v>178</v>
      </c>
      <c r="L65" s="18">
        <v>201</v>
      </c>
      <c r="M65" s="18">
        <v>249</v>
      </c>
      <c r="N65" s="18">
        <v>200</v>
      </c>
      <c r="O65" s="18">
        <v>181</v>
      </c>
    </row>
    <row r="66" spans="1:15" ht="21" thickTop="1" thickBot="1" x14ac:dyDescent="0.35">
      <c r="A66" s="33"/>
      <c r="B66" s="17" t="s">
        <v>60</v>
      </c>
      <c r="C66" s="19">
        <f>C65/$A$64*100</f>
        <v>47.25</v>
      </c>
      <c r="D66" s="19">
        <f t="shared" ref="D66:O66" si="9">D65/$A$64*100</f>
        <v>61</v>
      </c>
      <c r="E66" s="19">
        <f t="shared" si="9"/>
        <v>55.25</v>
      </c>
      <c r="F66" s="19">
        <f t="shared" si="9"/>
        <v>64.5</v>
      </c>
      <c r="G66" s="19">
        <f t="shared" si="9"/>
        <v>68.75</v>
      </c>
      <c r="H66" s="19">
        <f t="shared" si="9"/>
        <v>44.75</v>
      </c>
      <c r="I66" s="19">
        <f t="shared" si="9"/>
        <v>42.75</v>
      </c>
      <c r="J66" s="19">
        <f t="shared" si="9"/>
        <v>33.25</v>
      </c>
      <c r="K66" s="19">
        <f t="shared" si="9"/>
        <v>44.5</v>
      </c>
      <c r="L66" s="19">
        <f t="shared" si="9"/>
        <v>50.249999999999993</v>
      </c>
      <c r="M66" s="19">
        <f t="shared" si="9"/>
        <v>62.250000000000007</v>
      </c>
      <c r="N66" s="19">
        <f t="shared" si="9"/>
        <v>50</v>
      </c>
      <c r="O66" s="19">
        <f t="shared" si="9"/>
        <v>45.25</v>
      </c>
    </row>
    <row r="67" spans="1:15" ht="21" thickTop="1" thickBot="1" x14ac:dyDescent="0.35">
      <c r="A67" s="33"/>
      <c r="B67" s="17" t="s">
        <v>61</v>
      </c>
      <c r="C67" s="21">
        <f>C61/C$65*100</f>
        <v>21.693121693121693</v>
      </c>
      <c r="D67" s="21">
        <f>D61/D$65*100</f>
        <v>27.459016393442624</v>
      </c>
      <c r="E67" s="21">
        <f>E61/E$65*100</f>
        <v>9.9547511312217196</v>
      </c>
      <c r="F67" s="21">
        <f>F61/F$65*100</f>
        <v>22.480620155038761</v>
      </c>
      <c r="G67" s="21">
        <f t="shared" ref="G67:O67" si="10">G61/G$65*100</f>
        <v>32.36363636363636</v>
      </c>
      <c r="H67" s="21">
        <f t="shared" si="10"/>
        <v>24.022346368715084</v>
      </c>
      <c r="I67" s="21">
        <f t="shared" si="10"/>
        <v>12.280701754385964</v>
      </c>
      <c r="J67" s="21">
        <f t="shared" si="10"/>
        <v>15.789473684210526</v>
      </c>
      <c r="K67" s="21">
        <f t="shared" si="10"/>
        <v>34.269662921348313</v>
      </c>
      <c r="L67" s="21">
        <f t="shared" si="10"/>
        <v>34.328358208955223</v>
      </c>
      <c r="M67" s="21">
        <f t="shared" si="10"/>
        <v>10.843373493975903</v>
      </c>
      <c r="N67" s="21">
        <f t="shared" si="10"/>
        <v>38</v>
      </c>
      <c r="O67" s="21">
        <f t="shared" si="10"/>
        <v>16.022099447513813</v>
      </c>
    </row>
    <row r="68" spans="1:15" ht="21" thickTop="1" thickBot="1" x14ac:dyDescent="0.35">
      <c r="A68" s="33"/>
      <c r="B68" s="17" t="s">
        <v>62</v>
      </c>
      <c r="C68" s="21">
        <f t="shared" ref="C68:O68" si="11">C62/C$65*100</f>
        <v>20.634920634920633</v>
      </c>
      <c r="D68" s="21">
        <f t="shared" ref="D68:F70" si="12">D62/D$65*100</f>
        <v>23.360655737704921</v>
      </c>
      <c r="E68" s="21">
        <f t="shared" si="12"/>
        <v>34.841628959276015</v>
      </c>
      <c r="F68" s="21">
        <f t="shared" si="12"/>
        <v>31.007751937984494</v>
      </c>
      <c r="G68" s="21">
        <f t="shared" si="11"/>
        <v>25.09090909090909</v>
      </c>
      <c r="H68" s="21">
        <f t="shared" si="11"/>
        <v>11.173184357541899</v>
      </c>
      <c r="I68" s="21">
        <f t="shared" si="11"/>
        <v>15.789473684210526</v>
      </c>
      <c r="J68" s="21">
        <f t="shared" si="11"/>
        <v>26.315789473684209</v>
      </c>
      <c r="K68" s="21">
        <f t="shared" si="11"/>
        <v>10.674157303370785</v>
      </c>
      <c r="L68" s="21">
        <f t="shared" si="11"/>
        <v>15.920398009950249</v>
      </c>
      <c r="M68" s="21">
        <f t="shared" si="11"/>
        <v>30.120481927710845</v>
      </c>
      <c r="N68" s="21">
        <f t="shared" si="11"/>
        <v>27</v>
      </c>
      <c r="O68" s="21">
        <f t="shared" si="11"/>
        <v>8.2872928176795568</v>
      </c>
    </row>
    <row r="69" spans="1:15" ht="21" thickTop="1" thickBot="1" x14ac:dyDescent="0.35">
      <c r="A69" s="33"/>
      <c r="B69" s="17" t="s">
        <v>63</v>
      </c>
      <c r="C69" s="21">
        <f t="shared" ref="C69:O69" si="13">C63/C$65*100</f>
        <v>39.682539682539684</v>
      </c>
      <c r="D69" s="21">
        <f t="shared" si="12"/>
        <v>29.918032786885245</v>
      </c>
      <c r="E69" s="21">
        <f t="shared" si="12"/>
        <v>13.122171945701359</v>
      </c>
      <c r="F69" s="21">
        <f t="shared" si="12"/>
        <v>10.852713178294573</v>
      </c>
      <c r="G69" s="21">
        <f t="shared" si="13"/>
        <v>33.454545454545453</v>
      </c>
      <c r="H69" s="21">
        <f t="shared" si="13"/>
        <v>36.871508379888269</v>
      </c>
      <c r="I69" s="21">
        <f t="shared" si="13"/>
        <v>40.935672514619881</v>
      </c>
      <c r="J69" s="21">
        <f t="shared" si="13"/>
        <v>27.06766917293233</v>
      </c>
      <c r="K69" s="21">
        <f t="shared" si="13"/>
        <v>14.04494382022472</v>
      </c>
      <c r="L69" s="21">
        <f t="shared" si="13"/>
        <v>29.35323383084577</v>
      </c>
      <c r="M69" s="21">
        <f t="shared" si="13"/>
        <v>27.309236947791167</v>
      </c>
      <c r="N69" s="21">
        <f t="shared" si="13"/>
        <v>20</v>
      </c>
      <c r="O69" s="21">
        <f t="shared" si="13"/>
        <v>44.751381215469614</v>
      </c>
    </row>
    <row r="70" spans="1:15" ht="21" thickTop="1" thickBot="1" x14ac:dyDescent="0.35">
      <c r="A70" s="33"/>
      <c r="B70" s="17" t="s">
        <v>64</v>
      </c>
      <c r="C70" s="21">
        <f t="shared" ref="C70:O70" si="14">C64/C$65*100</f>
        <v>17.989417989417987</v>
      </c>
      <c r="D70" s="21">
        <f t="shared" si="12"/>
        <v>19.262295081967213</v>
      </c>
      <c r="E70" s="21">
        <f t="shared" si="12"/>
        <v>42.081447963800905</v>
      </c>
      <c r="F70" s="21">
        <f t="shared" si="12"/>
        <v>35.65891472868217</v>
      </c>
      <c r="G70" s="21">
        <f t="shared" si="14"/>
        <v>9.0909090909090917</v>
      </c>
      <c r="H70" s="21">
        <f t="shared" si="14"/>
        <v>27.932960893854748</v>
      </c>
      <c r="I70" s="21">
        <f t="shared" si="14"/>
        <v>30.994152046783626</v>
      </c>
      <c r="J70" s="21">
        <f t="shared" si="14"/>
        <v>30.82706766917293</v>
      </c>
      <c r="K70" s="21">
        <f t="shared" si="14"/>
        <v>41.011235955056179</v>
      </c>
      <c r="L70" s="21">
        <f t="shared" si="14"/>
        <v>20.398009950248756</v>
      </c>
      <c r="M70" s="21">
        <f t="shared" si="14"/>
        <v>31.726907630522089</v>
      </c>
      <c r="N70" s="21">
        <f t="shared" si="14"/>
        <v>15</v>
      </c>
      <c r="O70" s="21">
        <f t="shared" si="14"/>
        <v>30.939226519337016</v>
      </c>
    </row>
    <row r="71" spans="1:15" ht="17.25" thickTop="1" x14ac:dyDescent="0.3"/>
  </sheetData>
  <mergeCells count="10">
    <mergeCell ref="A1:G1"/>
    <mergeCell ref="A20:I20"/>
    <mergeCell ref="A59:A63"/>
    <mergeCell ref="A64:A70"/>
    <mergeCell ref="F41:L41"/>
    <mergeCell ref="A41:E41"/>
    <mergeCell ref="F21:I21"/>
    <mergeCell ref="A21:E21"/>
    <mergeCell ref="A58:O58"/>
    <mergeCell ref="A40:L40"/>
  </mergeCells>
  <conditionalFormatting sqref="H43:L55">
    <cfRule type="cellIs" dxfId="1" priority="1" operator="lessThan">
      <formula>33</formula>
    </cfRule>
    <cfRule type="cellIs" dxfId="0" priority="2" operator="greaterThan">
      <formula>33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 formulas</vt:lpstr>
      <vt:lpstr>Cell Reffrence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2026-02-16T09:46:07Z</dcterms:created>
  <dcterms:modified xsi:type="dcterms:W3CDTF">2026-02-17T12:14:22Z</dcterms:modified>
</cp:coreProperties>
</file>